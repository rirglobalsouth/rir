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struções" sheetId="1" state="visible" r:id="rId1"/>
    <sheet xmlns:r="http://schemas.openxmlformats.org/officeDocument/2006/relationships" name="Ficha de Depósito" sheetId="2" state="visible" r:id="rId2"/>
    <sheet xmlns:r="http://schemas.openxmlformats.org/officeDocument/2006/relationships" name="Autoria" sheetId="3" state="visible" r:id="rId3"/>
    <sheet xmlns:r="http://schemas.openxmlformats.org/officeDocument/2006/relationships" name="Validação" sheetId="4" state="visible" r:id="rId4"/>
    <sheet xmlns:r="http://schemas.openxmlformats.org/officeDocument/2006/relationships" name="Diretório de Autoria" sheetId="5" state="visible" r:id="rId5"/>
    <sheet xmlns:r="http://schemas.openxmlformats.org/officeDocument/2006/relationships" name="Vocabulário Controlado" sheetId="6" state="visible" r:id="rId6"/>
    <sheet xmlns:r="http://schemas.openxmlformats.org/officeDocument/2006/relationships" name="Vocabulário PT-ES-EN" sheetId="7" state="visible" r:id="rId7"/>
    <sheet xmlns:r="http://schemas.openxmlformats.org/officeDocument/2006/relationships" name="Mapa de Uso" sheetId="8" state="visible" r:id="rId8"/>
    <sheet xmlns:r="http://schemas.openxmlformats.org/officeDocument/2006/relationships" name="Fluxo de Depósito" sheetId="9" state="visible" r:id="rId9"/>
  </sheets>
  <definedNames>
    <definedName name="_xlnm._FilterDatabase" localSheetId="6" hidden="1">'Vocabulário PT-ES-EN'!$A$8:$N$73</definedName>
    <definedName name="_xlnm._FilterDatabase" localSheetId="7" hidden="1">'Mapa de Uso'!$A$3:$F$17</definedName>
  </definedNames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Arial"/>
      <b val="1"/>
      <color rgb="000B4F4A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0B4F4A"/>
      </patternFill>
    </fill>
    <fill>
      <patternFill patternType="solid">
        <fgColor rgb="00F5F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sheetData>
    <row r="2">
      <c r="B2" t="inlineStr">
        <is>
          <t>Ficha de Depósito no Zenodo — Rede Interseccional de Resiliência (RIR ALC)</t>
        </is>
      </c>
    </row>
    <row r="3">
      <c r="B3" t="inlineStr">
        <is>
          <t>Projeto ALERTA-INTERSEC · Chamada MCTI/CNPq nº 02/2026 — PROSUL Pepe Mujica, Faixa B · Processo 445280/2026-3 · Contemplado em outubro de 2026</t>
        </is>
      </c>
    </row>
    <row r="5">
      <c r="B5" t="inlineStr">
        <is>
          <t>Como usar</t>
        </is>
      </c>
    </row>
    <row r="6">
      <c r="B6" t="inlineStr">
        <is>
          <t>1) Abra a aba "Ficha de Depósito" e crie uma linha por produto;</t>
        </is>
      </c>
    </row>
    <row r="7">
      <c r="B7" t="inlineStr">
        <is>
          <t>2) A coluna ID Interno deve ser única e seguir o padrão RIR-AAAA-NNN (ex: RIR-2026-001);</t>
        </is>
      </c>
    </row>
    <row r="8">
      <c r="B8" t="inlineStr">
        <is>
          <t>3) Registre cada autoria na aba "Autoria", vinculando pelo ID Interno;</t>
        </is>
      </c>
    </row>
    <row r="9">
      <c r="B9" t="inlineStr">
        <is>
          <t>4) A aba "Validação" aponta automaticamente o que está pendente;</t>
        </is>
      </c>
    </row>
    <row r="10">
      <c r="B10" t="inlineStr">
        <is>
          <t>5) Só faça o upload no Zenodo quando a aba "Validação" indicar "Pronto para depósito".</t>
        </is>
      </c>
    </row>
    <row r="12">
      <c r="B12" t="inlineStr">
        <is>
          <t>Regras obrigatórias</t>
        </is>
      </c>
    </row>
    <row r="13">
      <c r="B13" t="inlineStr">
        <is>
          <t>Todo produto precisa de DOI antes de qualquer divulgação;</t>
        </is>
      </c>
    </row>
    <row r="14">
      <c r="B14" t="inlineStr">
        <is>
          <t>ORCID é obrigatório para toda autoria;</t>
        </is>
      </c>
    </row>
    <row r="15">
      <c r="B15" t="inlineStr">
        <is>
          <t>A licença padrão é CC BY 4.0; outra licença exige justificativa registrada no Comitê Gestor Interinstitucional;</t>
        </is>
      </c>
    </row>
    <row r="16">
      <c r="B16" t="inlineStr">
        <is>
          <t>Conjuntos de dados derivados de microdados censitários só são depositados de forma agregada, com a técnica de agregação declarada;</t>
        </is>
      </c>
    </row>
    <row r="17">
      <c r="B17" t="inlineStr">
        <is>
          <t>Dado pessoal identificável não é depositado.</t>
        </is>
      </c>
    </row>
    <row r="19">
      <c r="B19" t="inlineStr">
        <is>
          <t>Sobre a validação de ORCID</t>
        </is>
      </c>
    </row>
    <row r="20">
      <c r="B20" t="inlineStr">
        <is>
          <t>A planilha valida o dígito verificador do ORCID pelo algoritmo módulo 11, e não apenas o formato.</t>
        </is>
      </c>
    </row>
    <row r="21">
      <c r="B21" t="inlineStr">
        <is>
          <t>Um ORCID com formato correto e dígito errado é sinalizado como "Dígito verificador incorreto".</t>
        </is>
      </c>
    </row>
    <row r="22">
      <c r="B22" t="inlineStr">
        <is>
          <t>Confira o identificador no site orcid.org antes de depositar.</t>
        </is>
      </c>
    </row>
    <row r="24">
      <c r="B24" t="inlineStr">
        <is>
          <t>Aviso</t>
        </is>
      </c>
    </row>
    <row r="25">
      <c r="B25" t="inlineStr">
        <is>
          <t>Esta planilha é instrumento interno de trabalho. Não publique nem compartilhe fora da equipe, pois contém dados de contato e identificadores pessoais de pesquisadores.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Interno</t>
        </is>
      </c>
      <c r="B1" t="inlineStr">
        <is>
          <t>Tipo de Recurso</t>
        </is>
      </c>
      <c r="C1" t="inlineStr">
        <is>
          <t>Título (Português)</t>
        </is>
      </c>
      <c r="D1" t="inlineStr">
        <is>
          <t>Título (Espanhol)</t>
        </is>
      </c>
      <c r="E1" t="inlineStr">
        <is>
          <t>Título (Inglês)</t>
        </is>
      </c>
      <c r="F1" t="inlineStr">
        <is>
          <t>Financiador</t>
        </is>
      </c>
      <c r="G1" t="inlineStr">
        <is>
          <t>Programa</t>
        </is>
      </c>
      <c r="H1" t="inlineStr">
        <is>
          <t>Processo</t>
        </is>
      </c>
      <c r="I1" t="inlineStr">
        <is>
          <t>Palavra-chave Principal</t>
        </is>
      </c>
      <c r="J1" t="inlineStr">
        <is>
          <t>Palavras-chave Adicionais</t>
        </is>
      </c>
      <c r="K1" t="inlineStr">
        <is>
          <t>Idioma do Arquivo</t>
        </is>
      </c>
      <c r="L1" t="inlineStr">
        <is>
          <t>Idioma dos Metadados</t>
        </is>
      </c>
      <c r="M1" t="inlineStr">
        <is>
          <t>Licença</t>
        </is>
      </c>
      <c r="N1" t="inlineStr">
        <is>
          <t>Justificativa da Licença</t>
        </is>
      </c>
      <c r="O1" t="inlineStr">
        <is>
          <t>Versão</t>
        </is>
      </c>
      <c r="P1" t="inlineStr">
        <is>
          <t>Acesso</t>
        </is>
      </c>
      <c r="Q1" t="inlineStr">
        <is>
          <t>Embargo até</t>
        </is>
      </c>
      <c r="R1" t="inlineStr">
        <is>
          <t>DOI de Produto Relacionado</t>
        </is>
      </c>
      <c r="S1" t="inlineStr">
        <is>
          <t>Técnica de Agregação Aplicada</t>
        </is>
      </c>
      <c r="T1" t="inlineStr">
        <is>
          <t>Declara Ausência de Dado Pessoal Identificável</t>
        </is>
      </c>
      <c r="U1" t="inlineStr">
        <is>
          <t>Contém Dado Sensível</t>
        </is>
      </c>
      <c r="V1" t="inlineStr">
        <is>
          <t>Parecer CEP/CONEP</t>
        </is>
      </c>
      <c r="W1" t="inlineStr">
        <is>
          <t>Status do Fluxo</t>
        </is>
      </c>
      <c r="X1" t="inlineStr">
        <is>
          <t>Responsável pelo Depósito</t>
        </is>
      </c>
      <c r="Y1" t="inlineStr">
        <is>
          <t>Data do Depósito</t>
        </is>
      </c>
      <c r="Z1" t="inlineStr">
        <is>
          <t>DOI Conceito</t>
        </is>
      </c>
      <c r="AA1" t="inlineStr">
        <is>
          <t>DOI de Versão</t>
        </is>
      </c>
      <c r="AB1" t="inlineStr">
        <is>
          <t>Conferência Automática</t>
        </is>
      </c>
    </row>
    <row r="2">
      <c r="F2" t="inlineStr">
        <is>
          <t>Conselho Nacional de Desenvolvimento Científico e Tecnológico — CNPq</t>
        </is>
      </c>
      <c r="G2" t="inlineStr">
        <is>
          <t>PROSUL Pepe Mujica — Chamada MCTI/CNPq nº 02/2026, Faixa B</t>
        </is>
      </c>
      <c r="H2" t="inlineStr">
        <is>
          <t>445280/2026-3</t>
        </is>
      </c>
      <c r="O2" t="inlineStr">
        <is>
          <t>1.0</t>
        </is>
      </c>
      <c r="AB2">
        <f>IF(A2="","",IF(COUNTA($B2:$E2,$I2,$K2:$M2,$W2)=0,"Linha vazia",IF(COUNTA($B2:$E2,$I2,$K2:$M2)&lt;8,"Campos obrigatórios pendentes: tipo, títulos PT/ES/EN, palavra-chave, idioma, licença",IF(AND($B2="Artigo",$E2=""),"Título em inglês obrigatório para artigo",IF(AND($M2="Outra — justificar",$N2=""),"Justificar a licença escolhida",IF(AND($P2="Embargo",$Q2=""),"Informar data de fim do embargo",IF($T2&lt;&gt;"Sim","Declarar ausência de dado pessoal identificável",IF($U2="Sim — vedado o depósito","Depósito vedado: contém dado sensível",IF(AND($B2="Conjunto de dados",$S2="Não se aplica"),"Conjunto de dados exige técnica de agregação declarada",IF($W2="Em preparação","Metadados ainda em preparação",IF(AND($W2="Publicado",$AA2=""),"Registrar o DOI de versão","Pronto para depósito")))))))))))</f>
        <v/>
      </c>
    </row>
    <row r="3">
      <c r="F3" t="inlineStr">
        <is>
          <t>Conselho Nacional de Desenvolvimento Científico e Tecnológico — CNPq</t>
        </is>
      </c>
      <c r="G3" t="inlineStr">
        <is>
          <t>PROSUL Pepe Mujica — Chamada MCTI/CNPq nº 02/2026, Faixa B</t>
        </is>
      </c>
      <c r="H3" t="inlineStr">
        <is>
          <t>445280/2026-3</t>
        </is>
      </c>
      <c r="O3" t="inlineStr">
        <is>
          <t>1.0</t>
        </is>
      </c>
      <c r="AB3">
        <f>IF(A3="","",IF(COUNTA($B3:$E3,$I3,$K3:$M3,$W3)=0,"Linha vazia",IF(COUNTA($B3:$E3,$I3,$K3:$M3)&lt;8,"Campos obrigatórios pendentes: tipo, títulos PT/ES/EN, palavra-chave, idioma, licença",IF(AND($B3="Artigo",$E3=""),"Título em inglês obrigatório para artigo",IF(AND($M3="Outra — justificar",$N3=""),"Justificar a licença escolhida",IF(AND($P3="Embargo",$Q3=""),"Informar data de fim do embargo",IF($T3&lt;&gt;"Sim","Declarar ausência de dado pessoal identificável",IF($U3="Sim — vedado o depósito","Depósito vedado: contém dado sensível",IF(AND($B3="Conjunto de dados",$S3="Não se aplica"),"Conjunto de dados exige técnica de agregação declarada",IF($W3="Em preparação","Metadados ainda em preparação",IF(AND($W3="Publicado",$AA3=""),"Registrar o DOI de versão","Pronto para depósito")))))))))))</f>
        <v/>
      </c>
    </row>
    <row r="4">
      <c r="F4" t="inlineStr">
        <is>
          <t>Conselho Nacional de Desenvolvimento Científico e Tecnológico — CNPq</t>
        </is>
      </c>
      <c r="G4" t="inlineStr">
        <is>
          <t>PROSUL Pepe Mujica — Chamada MCTI/CNPq nº 02/2026, Faixa B</t>
        </is>
      </c>
      <c r="H4" t="inlineStr">
        <is>
          <t>445280/2026-3</t>
        </is>
      </c>
      <c r="O4" t="inlineStr">
        <is>
          <t>1.0</t>
        </is>
      </c>
      <c r="AB4">
        <f>IF(A4="","",IF(COUNTA($B4:$E4,$I4,$K4:$M4,$W4)=0,"Linha vazia",IF(COUNTA($B4:$E4,$I4,$K4:$M4)&lt;8,"Campos obrigatórios pendentes: tipo, títulos PT/ES/EN, palavra-chave, idioma, licença",IF(AND($B4="Artigo",$E4=""),"Título em inglês obrigatório para artigo",IF(AND($M4="Outra — justificar",$N4=""),"Justificar a licença escolhida",IF(AND($P4="Embargo",$Q4=""),"Informar data de fim do embargo",IF($T4&lt;&gt;"Sim","Declarar ausência de dado pessoal identificável",IF($U4="Sim — vedado o depósito","Depósito vedado: contém dado sensível",IF(AND($B4="Conjunto de dados",$S4="Não se aplica"),"Conjunto de dados exige técnica de agregação declarada",IF($W4="Em preparação","Metadados ainda em preparação",IF(AND($W4="Publicado",$AA4=""),"Registrar o DOI de versão","Pronto para depósito")))))))))))</f>
        <v/>
      </c>
    </row>
    <row r="5">
      <c r="F5" t="inlineStr">
        <is>
          <t>Conselho Nacional de Desenvolvimento Científico e Tecnológico — CNPq</t>
        </is>
      </c>
      <c r="G5" t="inlineStr">
        <is>
          <t>PROSUL Pepe Mujica — Chamada MCTI/CNPq nº 02/2026, Faixa B</t>
        </is>
      </c>
      <c r="H5" t="inlineStr">
        <is>
          <t>445280/2026-3</t>
        </is>
      </c>
      <c r="O5" t="inlineStr">
        <is>
          <t>1.0</t>
        </is>
      </c>
      <c r="AB5">
        <f>IF(A5="","",IF(COUNTA($B5:$E5,$I5,$K5:$M5,$W5)=0,"Linha vazia",IF(COUNTA($B5:$E5,$I5,$K5:$M5)&lt;8,"Campos obrigatórios pendentes: tipo, títulos PT/ES/EN, palavra-chave, idioma, licença",IF(AND($B5="Artigo",$E5=""),"Título em inglês obrigatório para artigo",IF(AND($M5="Outra — justificar",$N5=""),"Justificar a licença escolhida",IF(AND($P5="Embargo",$Q5=""),"Informar data de fim do embargo",IF($T5&lt;&gt;"Sim","Declarar ausência de dado pessoal identificável",IF($U5="Sim — vedado o depósito","Depósito vedado: contém dado sensível",IF(AND($B5="Conjunto de dados",$S5="Não se aplica"),"Conjunto de dados exige técnica de agregação declarada",IF($W5="Em preparação","Metadados ainda em preparação",IF(AND($W5="Publicado",$AA5=""),"Registrar o DOI de versão","Pronto para depósito")))))))))))</f>
        <v/>
      </c>
    </row>
    <row r="6">
      <c r="F6" t="inlineStr">
        <is>
          <t>Conselho Nacional de Desenvolvimento Científico e Tecnológico — CNPq</t>
        </is>
      </c>
      <c r="G6" t="inlineStr">
        <is>
          <t>PROSUL Pepe Mujica — Chamada MCTI/CNPq nº 02/2026, Faixa B</t>
        </is>
      </c>
      <c r="H6" t="inlineStr">
        <is>
          <t>445280/2026-3</t>
        </is>
      </c>
      <c r="O6" t="inlineStr">
        <is>
          <t>1.0</t>
        </is>
      </c>
      <c r="AB6">
        <f>IF(A6="","",IF(COUNTA($B6:$E6,$I6,$K6:$M6,$W6)=0,"Linha vazia",IF(COUNTA($B6:$E6,$I6,$K6:$M6)&lt;8,"Campos obrigatórios pendentes: tipo, títulos PT/ES/EN, palavra-chave, idioma, licença",IF(AND($B6="Artigo",$E6=""),"Título em inglês obrigatório para artigo",IF(AND($M6="Outra — justificar",$N6=""),"Justificar a licença escolhida",IF(AND($P6="Embargo",$Q6=""),"Informar data de fim do embargo",IF($T6&lt;&gt;"Sim","Declarar ausência de dado pessoal identificável",IF($U6="Sim — vedado o depósito","Depósito vedado: contém dado sensível",IF(AND($B6="Conjunto de dados",$S6="Não se aplica"),"Conjunto de dados exige técnica de agregação declarada",IF($W6="Em preparação","Metadados ainda em preparação",IF(AND($W6="Publicado",$AA6=""),"Registrar o DOI de versão","Pronto para depósito")))))))))))</f>
        <v/>
      </c>
    </row>
    <row r="7">
      <c r="F7" t="inlineStr">
        <is>
          <t>Conselho Nacional de Desenvolvimento Científico e Tecnológico — CNPq</t>
        </is>
      </c>
      <c r="G7" t="inlineStr">
        <is>
          <t>PROSUL Pepe Mujica — Chamada MCTI/CNPq nº 02/2026, Faixa B</t>
        </is>
      </c>
      <c r="H7" t="inlineStr">
        <is>
          <t>445280/2026-3</t>
        </is>
      </c>
      <c r="O7" t="inlineStr">
        <is>
          <t>1.0</t>
        </is>
      </c>
      <c r="AB7">
        <f>IF(A7="","",IF(COUNTA($B7:$E7,$I7,$K7:$M7,$W7)=0,"Linha vazia",IF(COUNTA($B7:$E7,$I7,$K7:$M7)&lt;8,"Campos obrigatórios pendentes: tipo, títulos PT/ES/EN, palavra-chave, idioma, licença",IF(AND($B7="Artigo",$E7=""),"Título em inglês obrigatório para artigo",IF(AND($M7="Outra — justificar",$N7=""),"Justificar a licença escolhida",IF(AND($P7="Embargo",$Q7=""),"Informar data de fim do embargo",IF($T7&lt;&gt;"Sim","Declarar ausência de dado pessoal identificável",IF($U7="Sim — vedado o depósito","Depósito vedado: contém dado sensível",IF(AND($B7="Conjunto de dados",$S7="Não se aplica"),"Conjunto de dados exige técnica de agregação declarada",IF($W7="Em preparação","Metadados ainda em preparação",IF(AND($W7="Publicado",$AA7=""),"Registrar o DOI de versão","Pronto para depósito")))))))))))</f>
        <v/>
      </c>
    </row>
    <row r="8">
      <c r="F8" t="inlineStr">
        <is>
          <t>Conselho Nacional de Desenvolvimento Científico e Tecnológico — CNPq</t>
        </is>
      </c>
      <c r="G8" t="inlineStr">
        <is>
          <t>PROSUL Pepe Mujica — Chamada MCTI/CNPq nº 02/2026, Faixa B</t>
        </is>
      </c>
      <c r="H8" t="inlineStr">
        <is>
          <t>445280/2026-3</t>
        </is>
      </c>
      <c r="O8" t="inlineStr">
        <is>
          <t>1.0</t>
        </is>
      </c>
      <c r="AB8">
        <f>IF(A8="","",IF(COUNTA($B8:$E8,$I8,$K8:$M8,$W8)=0,"Linha vazia",IF(COUNTA($B8:$E8,$I8,$K8:$M8)&lt;8,"Campos obrigatórios pendentes: tipo, títulos PT/ES/EN, palavra-chave, idioma, licença",IF(AND($B8="Artigo",$E8=""),"Título em inglês obrigatório para artigo",IF(AND($M8="Outra — justificar",$N8=""),"Justificar a licença escolhida",IF(AND($P8="Embargo",$Q8=""),"Informar data de fim do embargo",IF($T8&lt;&gt;"Sim","Declarar ausência de dado pessoal identificável",IF($U8="Sim — vedado o depósito","Depósito vedado: contém dado sensível",IF(AND($B8="Conjunto de dados",$S8="Não se aplica"),"Conjunto de dados exige técnica de agregação declarada",IF($W8="Em preparação","Metadados ainda em preparação",IF(AND($W8="Publicado",$AA8=""),"Registrar o DOI de versão","Pronto para depósito")))))))))))</f>
        <v/>
      </c>
    </row>
    <row r="9">
      <c r="F9" t="inlineStr">
        <is>
          <t>Conselho Nacional de Desenvolvimento Científico e Tecnológico — CNPq</t>
        </is>
      </c>
      <c r="G9" t="inlineStr">
        <is>
          <t>PROSUL Pepe Mujica — Chamada MCTI/CNPq nº 02/2026, Faixa B</t>
        </is>
      </c>
      <c r="H9" t="inlineStr">
        <is>
          <t>445280/2026-3</t>
        </is>
      </c>
      <c r="O9" t="inlineStr">
        <is>
          <t>1.0</t>
        </is>
      </c>
      <c r="AB9">
        <f>IF(A9="","",IF(COUNTA($B9:$E9,$I9,$K9:$M9,$W9)=0,"Linha vazia",IF(COUNTA($B9:$E9,$I9,$K9:$M9)&lt;8,"Campos obrigatórios pendentes: tipo, títulos PT/ES/EN, palavra-chave, idioma, licença",IF(AND($B9="Artigo",$E9=""),"Título em inglês obrigatório para artigo",IF(AND($M9="Outra — justificar",$N9=""),"Justificar a licença escolhida",IF(AND($P9="Embargo",$Q9=""),"Informar data de fim do embargo",IF($T9&lt;&gt;"Sim","Declarar ausência de dado pessoal identificável",IF($U9="Sim — vedado o depósito","Depósito vedado: contém dado sensível",IF(AND($B9="Conjunto de dados",$S9="Não se aplica"),"Conjunto de dados exige técnica de agregação declarada",IF($W9="Em preparação","Metadados ainda em preparação",IF(AND($W9="Publicado",$AA9=""),"Registrar o DOI de versão","Pronto para depósito")))))))))))</f>
        <v/>
      </c>
    </row>
    <row r="10">
      <c r="F10" t="inlineStr">
        <is>
          <t>Conselho Nacional de Desenvolvimento Científico e Tecnológico — CNPq</t>
        </is>
      </c>
      <c r="G10" t="inlineStr">
        <is>
          <t>PROSUL Pepe Mujica — Chamada MCTI/CNPq nº 02/2026, Faixa B</t>
        </is>
      </c>
      <c r="H10" t="inlineStr">
        <is>
          <t>445280/2026-3</t>
        </is>
      </c>
      <c r="O10" t="inlineStr">
        <is>
          <t>1.0</t>
        </is>
      </c>
      <c r="AB10">
        <f>IF(A10="","",IF(COUNTA($B10:$E10,$I10,$K10:$M10,$W10)=0,"Linha vazia",IF(COUNTA($B10:$E10,$I10,$K10:$M10)&lt;8,"Campos obrigatórios pendentes: tipo, títulos PT/ES/EN, palavra-chave, idioma, licença",IF(AND($B10="Artigo",$E10=""),"Título em inglês obrigatório para artigo",IF(AND($M10="Outra — justificar",$N10=""),"Justificar a licença escolhida",IF(AND($P10="Embargo",$Q10=""),"Informar data de fim do embargo",IF($T10&lt;&gt;"Sim","Declarar ausência de dado pessoal identificável",IF($U10="Sim — vedado o depósito","Depósito vedado: contém dado sensível",IF(AND($B10="Conjunto de dados",$S10="Não se aplica"),"Conjunto de dados exige técnica de agregação declarada",IF($W10="Em preparação","Metadados ainda em preparação",IF(AND($W10="Publicado",$AA10=""),"Registrar o DOI de versão","Pronto para depósito")))))))))))</f>
        <v/>
      </c>
    </row>
    <row r="11">
      <c r="F11" t="inlineStr">
        <is>
          <t>Conselho Nacional de Desenvolvimento Científico e Tecnológico — CNPq</t>
        </is>
      </c>
      <c r="G11" t="inlineStr">
        <is>
          <t>PROSUL Pepe Mujica — Chamada MCTI/CNPq nº 02/2026, Faixa B</t>
        </is>
      </c>
      <c r="H11" t="inlineStr">
        <is>
          <t>445280/2026-3</t>
        </is>
      </c>
      <c r="O11" t="inlineStr">
        <is>
          <t>1.0</t>
        </is>
      </c>
      <c r="AB11">
        <f>IF(A11="","",IF(COUNTA($B11:$E11,$I11,$K11:$M11,$W11)=0,"Linha vazia",IF(COUNTA($B11:$E11,$I11,$K11:$M11)&lt;8,"Campos obrigatórios pendentes: tipo, títulos PT/ES/EN, palavra-chave, idioma, licença",IF(AND($B11="Artigo",$E11=""),"Título em inglês obrigatório para artigo",IF(AND($M11="Outra — justificar",$N11=""),"Justificar a licença escolhida",IF(AND($P11="Embargo",$Q11=""),"Informar data de fim do embargo",IF($T11&lt;&gt;"Sim","Declarar ausência de dado pessoal identificável",IF($U11="Sim — vedado o depósito","Depósito vedado: contém dado sensível",IF(AND($B11="Conjunto de dados",$S11="Não se aplica"),"Conjunto de dados exige técnica de agregação declarada",IF($W11="Em preparação","Metadados ainda em preparação",IF(AND($W11="Publicado",$AA11=""),"Registrar o DOI de versão","Pronto para depósito")))))))))))</f>
        <v/>
      </c>
    </row>
    <row r="12">
      <c r="F12" t="inlineStr">
        <is>
          <t>Conselho Nacional de Desenvolvimento Científico e Tecnológico — CNPq</t>
        </is>
      </c>
      <c r="G12" t="inlineStr">
        <is>
          <t>PROSUL Pepe Mujica — Chamada MCTI/CNPq nº 02/2026, Faixa B</t>
        </is>
      </c>
      <c r="H12" t="inlineStr">
        <is>
          <t>445280/2026-3</t>
        </is>
      </c>
      <c r="O12" t="inlineStr">
        <is>
          <t>1.0</t>
        </is>
      </c>
      <c r="AB12">
        <f>IF(A12="","",IF(COUNTA($B12:$E12,$I12,$K12:$M12,$W12)=0,"Linha vazia",IF(COUNTA($B12:$E12,$I12,$K12:$M12)&lt;8,"Campos obrigatórios pendentes: tipo, títulos PT/ES/EN, palavra-chave, idioma, licença",IF(AND($B12="Artigo",$E12=""),"Título em inglês obrigatório para artigo",IF(AND($M12="Outra — justificar",$N12=""),"Justificar a licença escolhida",IF(AND($P12="Embargo",$Q12=""),"Informar data de fim do embargo",IF($T12&lt;&gt;"Sim","Declarar ausência de dado pessoal identificável",IF($U12="Sim — vedado o depósito","Depósito vedado: contém dado sensível",IF(AND($B12="Conjunto de dados",$S12="Não se aplica"),"Conjunto de dados exige técnica de agregação declarada",IF($W12="Em preparação","Metadados ainda em preparação",IF(AND($W12="Publicado",$AA12=""),"Registrar o DOI de versão","Pronto para depósito")))))))))))</f>
        <v/>
      </c>
    </row>
    <row r="13">
      <c r="F13" t="inlineStr">
        <is>
          <t>Conselho Nacional de Desenvolvimento Científico e Tecnológico — CNPq</t>
        </is>
      </c>
      <c r="G13" t="inlineStr">
        <is>
          <t>PROSUL Pepe Mujica — Chamada MCTI/CNPq nº 02/2026, Faixa B</t>
        </is>
      </c>
      <c r="H13" t="inlineStr">
        <is>
          <t>445280/2026-3</t>
        </is>
      </c>
      <c r="O13" t="inlineStr">
        <is>
          <t>1.0</t>
        </is>
      </c>
      <c r="AB13">
        <f>IF(A13="","",IF(COUNTA($B13:$E13,$I13,$K13:$M13,$W13)=0,"Linha vazia",IF(COUNTA($B13:$E13,$I13,$K13:$M13)&lt;8,"Campos obrigatórios pendentes: tipo, títulos PT/ES/EN, palavra-chave, idioma, licença",IF(AND($B13="Artigo",$E13=""),"Título em inglês obrigatório para artigo",IF(AND($M13="Outra — justificar",$N13=""),"Justificar a licença escolhida",IF(AND($P13="Embargo",$Q13=""),"Informar data de fim do embargo",IF($T13&lt;&gt;"Sim","Declarar ausência de dado pessoal identificável",IF($U13="Sim — vedado o depósito","Depósito vedado: contém dado sensível",IF(AND($B13="Conjunto de dados",$S13="Não se aplica"),"Conjunto de dados exige técnica de agregação declarada",IF($W13="Em preparação","Metadados ainda em preparação",IF(AND($W13="Publicado",$AA13=""),"Registrar o DOI de versão","Pronto para depósito")))))))))))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Interno do Produto</t>
        </is>
      </c>
      <c r="B1" t="inlineStr">
        <is>
          <t>Ordem de Autoria</t>
        </is>
      </c>
      <c r="C1" t="inlineStr">
        <is>
          <t>Nome Completo</t>
        </is>
      </c>
      <c r="D1" t="inlineStr">
        <is>
          <t>Instituição</t>
        </is>
      </c>
      <c r="E1" t="inlineStr">
        <is>
          <t>País</t>
        </is>
      </c>
      <c r="F1" t="inlineStr">
        <is>
          <t>ORCID</t>
        </is>
      </c>
      <c r="G1" t="inlineStr">
        <is>
          <t>Validação do ORCID</t>
        </is>
      </c>
      <c r="H1" t="inlineStr">
        <is>
          <t>Currículo Lattes</t>
        </is>
      </c>
      <c r="I1" t="inlineStr">
        <is>
          <t>Papel na Autoria</t>
        </is>
      </c>
      <c r="J1" t="inlineStr">
        <is>
          <t>Contribuição Declarada</t>
        </is>
      </c>
    </row>
    <row r="2">
      <c r="G2">
        <f>IF($F2="","",IF(ISERROR(VALUE(MID(SUBSTITUTE($F2,"-",""),1,15))),"Caracteres inválidos",IF(LEN(SUBSTITUTE($F2,"-",""))&lt;&gt;16,"Formato: 0000-0000-0000-000X",IF(IF(MOD(12-MOD(SUMPRODUCT(--MID(SUBSTITUTE($F2,"-",""),ROW(INDIRECT("1:15")),1),2^(16-ROW(INDIRECT("1:15")))),11),11)=10,"X",TEXT(MOD(12-MOD(SUMPRODUCT(--MID(SUBSTITUTE($F2,"-",""),ROW(INDIRECT("1:15")),1),2^(16-ROW(INDIRECT("1:15")))),11),11),"0"))=RIGHT(SUBSTITUTE($F2,"-",""),1),"ORCID válido","Dígito verificador incorreto"))))</f>
        <v/>
      </c>
    </row>
    <row r="3">
      <c r="G3">
        <f>IF($F3="","",IF(ISERROR(VALUE(MID(SUBSTITUTE($F3,"-",""),1,15))),"Caracteres inválidos",IF(LEN(SUBSTITUTE($F3,"-",""))&lt;&gt;16,"Formato: 0000-0000-0000-000X",IF(IF(MOD(12-MOD(SUMPRODUCT(--MID(SUBSTITUTE($F3,"-",""),ROW(INDIRECT("1:15")),1),2^(16-ROW(INDIRECT("1:15")))),11),11)=10,"X",TEXT(MOD(12-MOD(SUMPRODUCT(--MID(SUBSTITUTE($F3,"-",""),ROW(INDIRECT("1:15")),1),2^(16-ROW(INDIRECT("1:15")))),11),11),"0"))=RIGHT(SUBSTITUTE($F3,"-",""),1),"ORCID válido","Dígito verificador incorreto"))))</f>
        <v/>
      </c>
    </row>
    <row r="4">
      <c r="G4">
        <f>IF($F4="","",IF(ISERROR(VALUE(MID(SUBSTITUTE($F4,"-",""),1,15))),"Caracteres inválidos",IF(LEN(SUBSTITUTE($F4,"-",""))&lt;&gt;16,"Formato: 0000-0000-0000-000X",IF(IF(MOD(12-MOD(SUMPRODUCT(--MID(SUBSTITUTE($F4,"-",""),ROW(INDIRECT("1:15")),1),2^(16-ROW(INDIRECT("1:15")))),11),11)=10,"X",TEXT(MOD(12-MOD(SUMPRODUCT(--MID(SUBSTITUTE($F4,"-",""),ROW(INDIRECT("1:15")),1),2^(16-ROW(INDIRECT("1:15")))),11),11),"0"))=RIGHT(SUBSTITUTE($F4,"-",""),1),"ORCID válido","Dígito verificador incorreto"))))</f>
        <v/>
      </c>
    </row>
    <row r="5">
      <c r="G5">
        <f>IF($F5="","",IF(ISERROR(VALUE(MID(SUBSTITUTE($F5,"-",""),1,15))),"Caracteres inválidos",IF(LEN(SUBSTITUTE($F5,"-",""))&lt;&gt;16,"Formato: 0000-0000-0000-000X",IF(IF(MOD(12-MOD(SUMPRODUCT(--MID(SUBSTITUTE($F5,"-",""),ROW(INDIRECT("1:15")),1),2^(16-ROW(INDIRECT("1:15")))),11),11)=10,"X",TEXT(MOD(12-MOD(SUMPRODUCT(--MID(SUBSTITUTE($F5,"-",""),ROW(INDIRECT("1:15")),1),2^(16-ROW(INDIRECT("1:15")))),11),11),"0"))=RIGHT(SUBSTITUTE($F5,"-",""),1),"ORCID válido","Dígito verificador incorreto"))))</f>
        <v/>
      </c>
    </row>
    <row r="6">
      <c r="G6">
        <f>IF($F6="","",IF(ISERROR(VALUE(MID(SUBSTITUTE($F6,"-",""),1,15))),"Caracteres inválidos",IF(LEN(SUBSTITUTE($F6,"-",""))&lt;&gt;16,"Formato: 0000-0000-0000-000X",IF(IF(MOD(12-MOD(SUMPRODUCT(--MID(SUBSTITUTE($F6,"-",""),ROW(INDIRECT("1:15")),1),2^(16-ROW(INDIRECT("1:15")))),11),11)=10,"X",TEXT(MOD(12-MOD(SUMPRODUCT(--MID(SUBSTITUTE($F6,"-",""),ROW(INDIRECT("1:15")),1),2^(16-ROW(INDIRECT("1:15")))),11),11),"0"))=RIGHT(SUBSTITUTE($F6,"-",""),1),"ORCID válido","Dígito verificador incorreto"))))</f>
        <v/>
      </c>
    </row>
    <row r="7">
      <c r="G7">
        <f>IF($F7="","",IF(ISERROR(VALUE(MID(SUBSTITUTE($F7,"-",""),1,15))),"Caracteres inválidos",IF(LEN(SUBSTITUTE($F7,"-",""))&lt;&gt;16,"Formato: 0000-0000-0000-000X",IF(IF(MOD(12-MOD(SUMPRODUCT(--MID(SUBSTITUTE($F7,"-",""),ROW(INDIRECT("1:15")),1),2^(16-ROW(INDIRECT("1:15")))),11),11)=10,"X",TEXT(MOD(12-MOD(SUMPRODUCT(--MID(SUBSTITUTE($F7,"-",""),ROW(INDIRECT("1:15")),1),2^(16-ROW(INDIRECT("1:15")))),11),11),"0"))=RIGHT(SUBSTITUTE($F7,"-",""),1),"ORCID válido","Dígito verificador incorreto"))))</f>
        <v/>
      </c>
    </row>
    <row r="8">
      <c r="G8">
        <f>IF($F8="","",IF(ISERROR(VALUE(MID(SUBSTITUTE($F8,"-",""),1,15))),"Caracteres inválidos",IF(LEN(SUBSTITUTE($F8,"-",""))&lt;&gt;16,"Formato: 0000-0000-0000-000X",IF(IF(MOD(12-MOD(SUMPRODUCT(--MID(SUBSTITUTE($F8,"-",""),ROW(INDIRECT("1:15")),1),2^(16-ROW(INDIRECT("1:15")))),11),11)=10,"X",TEXT(MOD(12-MOD(SUMPRODUCT(--MID(SUBSTITUTE($F8,"-",""),ROW(INDIRECT("1:15")),1),2^(16-ROW(INDIRECT("1:15")))),11),11),"0"))=RIGHT(SUBSTITUTE($F8,"-",""),1),"ORCID válido","Dígito verificador incorreto"))))</f>
        <v/>
      </c>
    </row>
    <row r="9">
      <c r="G9">
        <f>IF($F9="","",IF(ISERROR(VALUE(MID(SUBSTITUTE($F9,"-",""),1,15))),"Caracteres inválidos",IF(LEN(SUBSTITUTE($F9,"-",""))&lt;&gt;16,"Formato: 0000-0000-0000-000X",IF(IF(MOD(12-MOD(SUMPRODUCT(--MID(SUBSTITUTE($F9,"-",""),ROW(INDIRECT("1:15")),1),2^(16-ROW(INDIRECT("1:15")))),11),11)=10,"X",TEXT(MOD(12-MOD(SUMPRODUCT(--MID(SUBSTITUTE($F9,"-",""),ROW(INDIRECT("1:15")),1),2^(16-ROW(INDIRECT("1:15")))),11),11),"0"))=RIGHT(SUBSTITUTE($F9,"-",""),1),"ORCID válido","Dígito verificador incorreto"))))</f>
        <v/>
      </c>
    </row>
    <row r="10">
      <c r="G10">
        <f>IF($F10="","",IF(ISERROR(VALUE(MID(SUBSTITUTE($F10,"-",""),1,15))),"Caracteres inválidos",IF(LEN(SUBSTITUTE($F10,"-",""))&lt;&gt;16,"Formato: 0000-0000-0000-000X",IF(IF(MOD(12-MOD(SUMPRODUCT(--MID(SUBSTITUTE($F10,"-",""),ROW(INDIRECT("1:15")),1),2^(16-ROW(INDIRECT("1:15")))),11),11)=10,"X",TEXT(MOD(12-MOD(SUMPRODUCT(--MID(SUBSTITUTE($F10,"-",""),ROW(INDIRECT("1:15")),1),2^(16-ROW(INDIRECT("1:15")))),11),11),"0"))=RIGHT(SUBSTITUTE($F10,"-",""),1),"ORCID válido","Dígito verificador incorreto"))))</f>
        <v/>
      </c>
    </row>
    <row r="11">
      <c r="G11">
        <f>IF($F11="","",IF(ISERROR(VALUE(MID(SUBSTITUTE($F11,"-",""),1,15))),"Caracteres inválidos",IF(LEN(SUBSTITUTE($F11,"-",""))&lt;&gt;16,"Formato: 0000-0000-0000-000X",IF(IF(MOD(12-MOD(SUMPRODUCT(--MID(SUBSTITUTE($F11,"-",""),ROW(INDIRECT("1:15")),1),2^(16-ROW(INDIRECT("1:15")))),11),11)=10,"X",TEXT(MOD(12-MOD(SUMPRODUCT(--MID(SUBSTITUTE($F11,"-",""),ROW(INDIRECT("1:15")),1),2^(16-ROW(INDIRECT("1:15")))),11),11),"0"))=RIGHT(SUBSTITUTE($F11,"-",""),1),"ORCID válido","Dígito verificador incorreto"))))</f>
        <v/>
      </c>
    </row>
    <row r="12">
      <c r="G12">
        <f>IF($F12="","",IF(ISERROR(VALUE(MID(SUBSTITUTE($F12,"-",""),1,15))),"Caracteres inválidos",IF(LEN(SUBSTITUTE($F12,"-",""))&lt;&gt;16,"Formato: 0000-0000-0000-000X",IF(IF(MOD(12-MOD(SUMPRODUCT(--MID(SUBSTITUTE($F12,"-",""),ROW(INDIRECT("1:15")),1),2^(16-ROW(INDIRECT("1:15")))),11),11)=10,"X",TEXT(MOD(12-MOD(SUMPRODUCT(--MID(SUBSTITUTE($F12,"-",""),ROW(INDIRECT("1:15")),1),2^(16-ROW(INDIRECT("1:15")))),11),11),"0"))=RIGHT(SUBSTITUTE($F12,"-",""),1),"ORCID válido","Dígito verificador incorreto"))))</f>
        <v/>
      </c>
    </row>
    <row r="13">
      <c r="G13">
        <f>IF($F13="","",IF(ISERROR(VALUE(MID(SUBSTITUTE($F13,"-",""),1,15))),"Caracteres inválidos",IF(LEN(SUBSTITUTE($F13,"-",""))&lt;&gt;16,"Formato: 0000-0000-0000-000X",IF(IF(MOD(12-MOD(SUMPRODUCT(--MID(SUBSTITUTE($F13,"-",""),ROW(INDIRECT("1:15")),1),2^(16-ROW(INDIRECT("1:15")))),11),11)=10,"X",TEXT(MOD(12-MOD(SUMPRODUCT(--MID(SUBSTITUTE($F13,"-",""),ROW(INDIRECT("1:15")),1),2^(16-ROW(INDIRECT("1:15")))),11),11),"0"))=RIGHT(SUBSTITUTE($F13,"-",""),1),"ORCID válido","Dígito verificador incorreto"))))</f>
        <v/>
      </c>
    </row>
    <row r="14">
      <c r="G14">
        <f>IF($F14="","",IF(ISERROR(VALUE(MID(SUBSTITUTE($F14,"-",""),1,15))),"Caracteres inválidos",IF(LEN(SUBSTITUTE($F14,"-",""))&lt;&gt;16,"Formato: 0000-0000-0000-000X",IF(IF(MOD(12-MOD(SUMPRODUCT(--MID(SUBSTITUTE($F14,"-",""),ROW(INDIRECT("1:15")),1),2^(16-ROW(INDIRECT("1:15")))),11),11)=10,"X",TEXT(MOD(12-MOD(SUMPRODUCT(--MID(SUBSTITUTE($F14,"-",""),ROW(INDIRECT("1:15")),1),2^(16-ROW(INDIRECT("1:15")))),11),11),"0"))=RIGHT(SUBSTITUTE($F14,"-",""),1),"ORCID válido","Dígito verificador incorreto"))))</f>
        <v/>
      </c>
    </row>
    <row r="15">
      <c r="G15">
        <f>IF($F15="","",IF(ISERROR(VALUE(MID(SUBSTITUTE($F15,"-",""),1,15))),"Caracteres inválidos",IF(LEN(SUBSTITUTE($F15,"-",""))&lt;&gt;16,"Formato: 0000-0000-0000-000X",IF(IF(MOD(12-MOD(SUMPRODUCT(--MID(SUBSTITUTE($F15,"-",""),ROW(INDIRECT("1:15")),1),2^(16-ROW(INDIRECT("1:15")))),11),11)=10,"X",TEXT(MOD(12-MOD(SUMPRODUCT(--MID(SUBSTITUTE($F15,"-",""),ROW(INDIRECT("1:15")),1),2^(16-ROW(INDIRECT("1:15")))),11),11),"0"))=RIGHT(SUBSTITUTE($F15,"-",""),1),"ORCID válido","Dígito verificador incorreto"))))</f>
        <v/>
      </c>
    </row>
    <row r="16">
      <c r="G16">
        <f>IF($F16="","",IF(ISERROR(VALUE(MID(SUBSTITUTE($F16,"-",""),1,15))),"Caracteres inválidos",IF(LEN(SUBSTITUTE($F16,"-",""))&lt;&gt;16,"Formato: 0000-0000-0000-000X",IF(IF(MOD(12-MOD(SUMPRODUCT(--MID(SUBSTITUTE($F16,"-",""),ROW(INDIRECT("1:15")),1),2^(16-ROW(INDIRECT("1:15")))),11),11)=10,"X",TEXT(MOD(12-MOD(SUMPRODUCT(--MID(SUBSTITUTE($F16,"-",""),ROW(INDIRECT("1:15")),1),2^(16-ROW(INDIRECT("1:15")))),11),11),"0"))=RIGHT(SUBSTITUTE($F16,"-",""),1),"ORCID válido","Dígito verificador incorreto"))))</f>
        <v/>
      </c>
    </row>
    <row r="17">
      <c r="G17">
        <f>IF($F17="","",IF(ISERROR(VALUE(MID(SUBSTITUTE($F17,"-",""),1,15))),"Caracteres inválidos",IF(LEN(SUBSTITUTE($F17,"-",""))&lt;&gt;16,"Formato: 0000-0000-0000-000X",IF(IF(MOD(12-MOD(SUMPRODUCT(--MID(SUBSTITUTE($F17,"-",""),ROW(INDIRECT("1:15")),1),2^(16-ROW(INDIRECT("1:15")))),11),11)=10,"X",TEXT(MOD(12-MOD(SUMPRODUCT(--MID(SUBSTITUTE($F17,"-",""),ROW(INDIRECT("1:15")),1),2^(16-ROW(INDIRECT("1:15")))),11),11),"0"))=RIGHT(SUBSTITUTE($F17,"-",""),1),"ORCID válido","Dígito verificador incorreto"))))</f>
        <v/>
      </c>
    </row>
    <row r="18">
      <c r="G18">
        <f>IF($F18="","",IF(ISERROR(VALUE(MID(SUBSTITUTE($F18,"-",""),1,15))),"Caracteres inválidos",IF(LEN(SUBSTITUTE($F18,"-",""))&lt;&gt;16,"Formato: 0000-0000-0000-000X",IF(IF(MOD(12-MOD(SUMPRODUCT(--MID(SUBSTITUTE($F18,"-",""),ROW(INDIRECT("1:15")),1),2^(16-ROW(INDIRECT("1:15")))),11),11)=10,"X",TEXT(MOD(12-MOD(SUMPRODUCT(--MID(SUBSTITUTE($F18,"-",""),ROW(INDIRECT("1:15")),1),2^(16-ROW(INDIRECT("1:15")))),11),11),"0"))=RIGHT(SUBSTITUTE($F18,"-",""),1),"ORCID válido","Dígito verificador incorreto"))))</f>
        <v/>
      </c>
    </row>
    <row r="19">
      <c r="G19">
        <f>IF($F19="","",IF(ISERROR(VALUE(MID(SUBSTITUTE($F19,"-",""),1,15))),"Caracteres inválidos",IF(LEN(SUBSTITUTE($F19,"-",""))&lt;&gt;16,"Formato: 0000-0000-0000-000X",IF(IF(MOD(12-MOD(SUMPRODUCT(--MID(SUBSTITUTE($F19,"-",""),ROW(INDIRECT("1:15")),1),2^(16-ROW(INDIRECT("1:15")))),11),11)=10,"X",TEXT(MOD(12-MOD(SUMPRODUCT(--MID(SUBSTITUTE($F19,"-",""),ROW(INDIRECT("1:15")),1),2^(16-ROW(INDIRECT("1:15")))),11),11),"0"))=RIGHT(SUBSTITUTE($F19,"-",""),1),"ORCID válido","Dígito verificador incorreto"))))</f>
        <v/>
      </c>
    </row>
    <row r="20">
      <c r="G20">
        <f>IF($F20="","",IF(ISERROR(VALUE(MID(SUBSTITUTE($F20,"-",""),1,15))),"Caracteres inválidos",IF(LEN(SUBSTITUTE($F20,"-",""))&lt;&gt;16,"Formato: 0000-0000-0000-000X",IF(IF(MOD(12-MOD(SUMPRODUCT(--MID(SUBSTITUTE($F20,"-",""),ROW(INDIRECT("1:15")),1),2^(16-ROW(INDIRECT("1:15")))),11),11)=10,"X",TEXT(MOD(12-MOD(SUMPRODUCT(--MID(SUBSTITUTE($F20,"-",""),ROW(INDIRECT("1:15")),1),2^(16-ROW(INDIRECT("1:15")))),11),11),"0"))=RIGHT(SUBSTITUTE($F20,"-",""),1),"ORCID válido","Dígito verificador incorreto"))))</f>
        <v/>
      </c>
    </row>
    <row r="21">
      <c r="G21">
        <f>IF($F21="","",IF(ISERROR(VALUE(MID(SUBSTITUTE($F21,"-",""),1,15))),"Caracteres inválidos",IF(LEN(SUBSTITUTE($F21,"-",""))&lt;&gt;16,"Formato: 0000-0000-0000-000X",IF(IF(MOD(12-MOD(SUMPRODUCT(--MID(SUBSTITUTE($F21,"-",""),ROW(INDIRECT("1:15")),1),2^(16-ROW(INDIRECT("1:15")))),11),11)=10,"X",TEXT(MOD(12-MOD(SUMPRODUCT(--MID(SUBSTITUTE($F21,"-",""),ROW(INDIRECT("1:15")),1),2^(16-ROW(INDIRECT("1:15")))),11),11),"0"))=RIGHT(SUBSTITUTE($F21,"-",""),1),"ORCID válido","Dígito verificador incorreto"))))</f>
        <v/>
      </c>
    </row>
    <row r="22">
      <c r="G22">
        <f>IF($F22="","",IF(ISERROR(VALUE(MID(SUBSTITUTE($F22,"-",""),1,15))),"Caracteres inválidos",IF(LEN(SUBSTITUTE($F22,"-",""))&lt;&gt;16,"Formato: 0000-0000-0000-000X",IF(IF(MOD(12-MOD(SUMPRODUCT(--MID(SUBSTITUTE($F22,"-",""),ROW(INDIRECT("1:15")),1),2^(16-ROW(INDIRECT("1:15")))),11),11)=10,"X",TEXT(MOD(12-MOD(SUMPRODUCT(--MID(SUBSTITUTE($F22,"-",""),ROW(INDIRECT("1:15")),1),2^(16-ROW(INDIRECT("1:15")))),11),11),"0"))=RIGHT(SUBSTITUTE($F22,"-",""),1),"ORCID válido","Dígito verificador incorreto"))))</f>
        <v/>
      </c>
    </row>
    <row r="23">
      <c r="G23">
        <f>IF($F23="","",IF(ISERROR(VALUE(MID(SUBSTITUTE($F23,"-",""),1,15))),"Caracteres inválidos",IF(LEN(SUBSTITUTE($F23,"-",""))&lt;&gt;16,"Formato: 0000-0000-0000-000X",IF(IF(MOD(12-MOD(SUMPRODUCT(--MID(SUBSTITUTE($F23,"-",""),ROW(INDIRECT("1:15")),1),2^(16-ROW(INDIRECT("1:15")))),11),11)=10,"X",TEXT(MOD(12-MOD(SUMPRODUCT(--MID(SUBSTITUTE($F23,"-",""),ROW(INDIRECT("1:15")),1),2^(16-ROW(INDIRECT("1:15")))),11),11),"0"))=RIGHT(SUBSTITUTE($F23,"-",""),1),"ORCID válido","Dígito verificador incorreto"))))</f>
        <v/>
      </c>
    </row>
    <row r="24">
      <c r="G24">
        <f>IF($F24="","",IF(ISERROR(VALUE(MID(SUBSTITUTE($F24,"-",""),1,15))),"Caracteres inválidos",IF(LEN(SUBSTITUTE($F24,"-",""))&lt;&gt;16,"Formato: 0000-0000-0000-000X",IF(IF(MOD(12-MOD(SUMPRODUCT(--MID(SUBSTITUTE($F24,"-",""),ROW(INDIRECT("1:15")),1),2^(16-ROW(INDIRECT("1:15")))),11),11)=10,"X",TEXT(MOD(12-MOD(SUMPRODUCT(--MID(SUBSTITUTE($F24,"-",""),ROW(INDIRECT("1:15")),1),2^(16-ROW(INDIRECT("1:15")))),11),11),"0"))=RIGHT(SUBSTITUTE($F24,"-",""),1),"ORCID válido","Dígito verificador incorreto"))))</f>
        <v/>
      </c>
    </row>
    <row r="25">
      <c r="G25">
        <f>IF($F25="","",IF(ISERROR(VALUE(MID(SUBSTITUTE($F25,"-",""),1,15))),"Caracteres inválidos",IF(LEN(SUBSTITUTE($F25,"-",""))&lt;&gt;16,"Formato: 0000-0000-0000-000X",IF(IF(MOD(12-MOD(SUMPRODUCT(--MID(SUBSTITUTE($F25,"-",""),ROW(INDIRECT("1:15")),1),2^(16-ROW(INDIRECT("1:15")))),11),11)=10,"X",TEXT(MOD(12-MOD(SUMPRODUCT(--MID(SUBSTITUTE($F25,"-",""),ROW(INDIRECT("1:15")),1),2^(16-ROW(INDIRECT("1:15")))),11),11),"0"))=RIGHT(SUBSTITUTE($F25,"-",""),1),"ORCID válido","Dígito verificador incorreto"))))</f>
        <v/>
      </c>
    </row>
    <row r="26">
      <c r="G26">
        <f>IF($F26="","",IF(ISERROR(VALUE(MID(SUBSTITUTE($F26,"-",""),1,15))),"Caracteres inválidos",IF(LEN(SUBSTITUTE($F26,"-",""))&lt;&gt;16,"Formato: 0000-0000-0000-000X",IF(IF(MOD(12-MOD(SUMPRODUCT(--MID(SUBSTITUTE($F26,"-",""),ROW(INDIRECT("1:15")),1),2^(16-ROW(INDIRECT("1:15")))),11),11)=10,"X",TEXT(MOD(12-MOD(SUMPRODUCT(--MID(SUBSTITUTE($F26,"-",""),ROW(INDIRECT("1:15")),1),2^(16-ROW(INDIRECT("1:15")))),11),11),"0"))=RIGHT(SUBSTITUTE($F26,"-",""),1),"ORCID válido","Dígito verificador incorreto"))))</f>
        <v/>
      </c>
    </row>
    <row r="27">
      <c r="G27">
        <f>IF($F27="","",IF(ISERROR(VALUE(MID(SUBSTITUTE($F27,"-",""),1,15))),"Caracteres inválidos",IF(LEN(SUBSTITUTE($F27,"-",""))&lt;&gt;16,"Formato: 0000-0000-0000-000X",IF(IF(MOD(12-MOD(SUMPRODUCT(--MID(SUBSTITUTE($F27,"-",""),ROW(INDIRECT("1:15")),1),2^(16-ROW(INDIRECT("1:15")))),11),11)=10,"X",TEXT(MOD(12-MOD(SUMPRODUCT(--MID(SUBSTITUTE($F27,"-",""),ROW(INDIRECT("1:15")),1),2^(16-ROW(INDIRECT("1:15")))),11),11),"0"))=RIGHT(SUBSTITUTE($F27,"-",""),1),"ORCID válido","Dígito verificador incorreto"))))</f>
        <v/>
      </c>
    </row>
    <row r="28">
      <c r="G28">
        <f>IF($F28="","",IF(ISERROR(VALUE(MID(SUBSTITUTE($F28,"-",""),1,15))),"Caracteres inválidos",IF(LEN(SUBSTITUTE($F28,"-",""))&lt;&gt;16,"Formato: 0000-0000-0000-000X",IF(IF(MOD(12-MOD(SUMPRODUCT(--MID(SUBSTITUTE($F28,"-",""),ROW(INDIRECT("1:15")),1),2^(16-ROW(INDIRECT("1:15")))),11),11)=10,"X",TEXT(MOD(12-MOD(SUMPRODUCT(--MID(SUBSTITUTE($F28,"-",""),ROW(INDIRECT("1:15")),1),2^(16-ROW(INDIRECT("1:15")))),11),11),"0"))=RIGHT(SUBSTITUTE($F28,"-",""),1),"ORCID válido","Dígito verificador incorreto"))))</f>
        <v/>
      </c>
    </row>
    <row r="29">
      <c r="G29">
        <f>IF($F29="","",IF(ISERROR(VALUE(MID(SUBSTITUTE($F29,"-",""),1,15))),"Caracteres inválidos",IF(LEN(SUBSTITUTE($F29,"-",""))&lt;&gt;16,"Formato: 0000-0000-0000-000X",IF(IF(MOD(12-MOD(SUMPRODUCT(--MID(SUBSTITUTE($F29,"-",""),ROW(INDIRECT("1:15")),1),2^(16-ROW(INDIRECT("1:15")))),11),11)=10,"X",TEXT(MOD(12-MOD(SUMPRODUCT(--MID(SUBSTITUTE($F29,"-",""),ROW(INDIRECT("1:15")),1),2^(16-ROW(INDIRECT("1:15")))),11),11),"0"))=RIGHT(SUBSTITUTE($F29,"-",""),1),"ORCID válido","Dígito verificador incorreto"))))</f>
        <v/>
      </c>
    </row>
    <row r="30">
      <c r="G30">
        <f>IF($F30="","",IF(ISERROR(VALUE(MID(SUBSTITUTE($F30,"-",""),1,15))),"Caracteres inválidos",IF(LEN(SUBSTITUTE($F30,"-",""))&lt;&gt;16,"Formato: 0000-0000-0000-000X",IF(IF(MOD(12-MOD(SUMPRODUCT(--MID(SUBSTITUTE($F30,"-",""),ROW(INDIRECT("1:15")),1),2^(16-ROW(INDIRECT("1:15")))),11),11)=10,"X",TEXT(MOD(12-MOD(SUMPRODUCT(--MID(SUBSTITUTE($F30,"-",""),ROW(INDIRECT("1:15")),1),2^(16-ROW(INDIRECT("1:15")))),11),11),"0"))=RIGHT(SUBSTITUTE($F30,"-",""),1),"ORCID válido","Dígito verificador incorreto"))))</f>
        <v/>
      </c>
    </row>
    <row r="31">
      <c r="G31">
        <f>IF($F31="","",IF(ISERROR(VALUE(MID(SUBSTITUTE($F31,"-",""),1,15))),"Caracteres inválidos",IF(LEN(SUBSTITUTE($F31,"-",""))&lt;&gt;16,"Formato: 0000-0000-0000-000X",IF(IF(MOD(12-MOD(SUMPRODUCT(--MID(SUBSTITUTE($F31,"-",""),ROW(INDIRECT("1:15")),1),2^(16-ROW(INDIRECT("1:15")))),11),11)=10,"X",TEXT(MOD(12-MOD(SUMPRODUCT(--MID(SUBSTITUTE($F31,"-",""),ROW(INDIRECT("1:15")),1),2^(16-ROW(INDIRECT("1:15")))),11),11),"0"))=RIGHT(SUBSTITUTE($F31,"-",""),1),"ORCID válido","Dígito verificador incorreto"))))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</row>
    <row r="2">
      <c r="A2" t="inlineStr">
        <is>
          <t>Produtos cadastrados</t>
        </is>
      </c>
      <c r="B2">
        <f>COUNTA('Ficha de Depósito'!A2:A13)</f>
        <v/>
      </c>
    </row>
    <row r="3">
      <c r="A3" t="inlineStr">
        <is>
          <t>Prontos para depósito</t>
        </is>
      </c>
      <c r="B3">
        <f>COUNTIF('Ficha de Depósito'!AB2:AB13,"Pronto para depósito")</f>
        <v/>
      </c>
    </row>
    <row r="4">
      <c r="A4" t="inlineStr">
        <is>
          <t>Em preparação</t>
        </is>
      </c>
      <c r="B4">
        <f>COUNTIF('Ficha de Depósito'!AB2:AB13,"Metadados ainda em preparação")</f>
        <v/>
      </c>
    </row>
    <row r="5">
      <c r="A5" t="inlineStr">
        <is>
          <t>Bloqueados ou vedados</t>
        </is>
      </c>
      <c r="B5">
        <f>COUNTIF('Ficha de Depósito'!AB2:AB13,"*vedado*")+COUNTIF('Ficha de Depósito'!AB2:AB13,"*Bloqueado*")</f>
        <v/>
      </c>
    </row>
    <row r="6">
      <c r="A6" t="inlineStr">
        <is>
          <t>Total de autorias registradas</t>
        </is>
      </c>
      <c r="B6">
        <f>COUNTA(Autoria!C2:C31)</f>
        <v/>
      </c>
    </row>
    <row r="7">
      <c r="A7" t="inlineStr">
        <is>
          <t>ORCIDs válidos</t>
        </is>
      </c>
      <c r="B7">
        <f>COUNTIF(Autoria!G2:G31,"ORCID válido")</f>
        <v/>
      </c>
    </row>
    <row r="8">
      <c r="A8" t="inlineStr">
        <is>
          <t>ORCIDs inválidos</t>
        </is>
      </c>
      <c r="B8">
        <f>COUNTIF(Autoria!G2:G31,"Dígito verificador incorreto")+COUNTIF(Autoria!G2:G31,"Caracteres inválidos")+COUNTIF(Autoria!G2:G31,"Formato: 0000-0000-0000-000X")</f>
        <v/>
      </c>
    </row>
    <row r="9">
      <c r="A9" t="inlineStr">
        <is>
          <t>Autoria sem ORCID preenchido</t>
        </is>
      </c>
      <c r="B9">
        <f>COUNTIFS(Autoria!C2:C31,"&lt;&gt;",Autoria!F2:F31,"")</f>
        <v/>
      </c>
    </row>
    <row r="10">
      <c r="A10" t="inlineStr">
        <is>
          <t>Produtos depositados sem DOI conceito</t>
        </is>
      </c>
      <c r="B10">
        <f>COUNTIFS('Ficha de Depósito'!W2:W13,"Depositado",'Ficha de Depósito'!Z2:Z13,"")+COUNTIFS('Ficha de Depósito'!W2:W13,"Publicado",'Ficha de Depósito'!Z2:Z13,"")</f>
        <v/>
      </c>
    </row>
    <row r="11">
      <c r="A11" t="inlineStr">
        <is>
          <t>Produtos publicados sem DOI de versão</t>
        </is>
      </c>
      <c r="B11">
        <f>COUNTIFS('Ficha de Depósito'!W2:W13,"Publicado",'Ficha de Depósito'!AA2:AA13,"")</f>
        <v/>
      </c>
    </row>
    <row r="12">
      <c r="A12" t="inlineStr">
        <is>
          <t>Percentual de completude da ficha (meta: 100%)</t>
        </is>
      </c>
      <c r="B12">
        <f>IFERROR(ROUND(COUNTIF('Ficha de Depósito'!AB2:AB13,"Pronto para depósito")/COUNTA('Ficha de Depósito'!A2:A13),4),0)</f>
        <v/>
      </c>
    </row>
    <row r="14">
      <c r="A14" t="inlineStr">
        <is>
          <t>Enquanto 'ORCIDs inválidos' ou 'Autoria sem ORCID preenchido' forem maiores que zero, o depósito não deve ser realizado. O ORCID é o vínculo entre a autoria e o produto no ecossistema acadêmico.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Instituição</t>
        </is>
      </c>
      <c r="C1" t="inlineStr">
        <is>
          <t>País</t>
        </is>
      </c>
      <c r="D1" t="inlineStr">
        <is>
          <t>ORCID</t>
        </is>
      </c>
      <c r="E1" t="inlineStr">
        <is>
          <t>Lattes ou perfil</t>
        </is>
      </c>
      <c r="F1" t="inlineStr">
        <is>
          <t>Validação do ORCID</t>
        </is>
      </c>
    </row>
    <row r="2">
      <c r="A2" t="inlineStr">
        <is>
          <t>Adriana Cuartas</t>
        </is>
      </c>
      <c r="B2" t="inlineStr">
        <is>
          <t>Cemaden/MCTI</t>
        </is>
      </c>
      <c r="C2" t="inlineStr">
        <is>
          <t>Brasil</t>
        </is>
      </c>
      <c r="D2" t="inlineStr">
        <is>
          <t>0000-0001-8993-5985</t>
        </is>
      </c>
      <c r="F2" t="inlineStr">
        <is>
          <t>ORCID válido</t>
        </is>
      </c>
    </row>
    <row r="3">
      <c r="A3" t="inlineStr">
        <is>
          <t>Allan Yu Iwama</t>
        </is>
      </c>
      <c r="B3" t="inlineStr">
        <is>
          <t>Cemaden/MCTI</t>
        </is>
      </c>
      <c r="C3" t="inlineStr">
        <is>
          <t>Brasil</t>
        </is>
      </c>
      <c r="D3" t="inlineStr">
        <is>
          <t>0000-0003-1707-8392</t>
        </is>
      </c>
      <c r="F3" t="inlineStr">
        <is>
          <t>ORCID válido</t>
        </is>
      </c>
    </row>
    <row r="4">
      <c r="A4" t="inlineStr">
        <is>
          <t>Ana Paula Martins do Amaral Cunha</t>
        </is>
      </c>
      <c r="B4" t="inlineStr">
        <is>
          <t>Cemaden/MCTI</t>
        </is>
      </c>
      <c r="C4" t="inlineStr">
        <is>
          <t>Brasil</t>
        </is>
      </c>
      <c r="D4" t="inlineStr">
        <is>
          <t>0000-0002-9924-6523</t>
        </is>
      </c>
      <c r="F4" t="inlineStr">
        <is>
          <t>ORCID válido</t>
        </is>
      </c>
    </row>
    <row r="5">
      <c r="A5" t="inlineStr">
        <is>
          <t>Andrezza Mafer</t>
        </is>
      </c>
      <c r="B5" t="inlineStr">
        <is>
          <t>Cemaden/MCTI</t>
        </is>
      </c>
      <c r="C5" t="inlineStr">
        <is>
          <t>Brasil</t>
        </is>
      </c>
      <c r="E5" t="inlineStr">
        <is>
          <t>http://lattes.cnpq.br/3558999164415375</t>
        </is>
      </c>
    </row>
    <row r="6">
      <c r="A6" t="inlineStr">
        <is>
          <t>Cintya Azambuja Martins</t>
        </is>
      </c>
      <c r="B6" t="inlineStr">
        <is>
          <t>UFOPA</t>
        </is>
      </c>
      <c r="C6" t="inlineStr">
        <is>
          <t>Brasil</t>
        </is>
      </c>
      <c r="E6" t="inlineStr">
        <is>
          <t>https://lattes.cnpq.br/6344891620719570</t>
        </is>
      </c>
    </row>
    <row r="7">
      <c r="A7" t="inlineStr">
        <is>
          <t>Danyelle Stringari</t>
        </is>
      </c>
      <c r="B7" t="inlineStr">
        <is>
          <t>UNESPAR/CEPED-PR</t>
        </is>
      </c>
      <c r="C7" t="inlineStr">
        <is>
          <t>Brasil</t>
        </is>
      </c>
      <c r="E7" t="inlineStr">
        <is>
          <t>http://lattes.cnpq.br/6235127981805861</t>
        </is>
      </c>
    </row>
    <row r="8">
      <c r="A8" t="inlineStr">
        <is>
          <t>Felipe Augusto Santos</t>
        </is>
      </c>
      <c r="B8" t="inlineStr">
        <is>
          <t>Cemaden/MCTI / UNESP</t>
        </is>
      </c>
      <c r="C8" t="inlineStr">
        <is>
          <t>Brasil</t>
        </is>
      </c>
      <c r="E8" t="inlineStr">
        <is>
          <t>http://lattes.cnpq.br/1658250368047614</t>
        </is>
      </c>
    </row>
    <row r="9">
      <c r="A9" t="inlineStr">
        <is>
          <t>Elisabete Weber Reckziegel</t>
        </is>
      </c>
      <c r="B9" t="inlineStr">
        <is>
          <t>Cemaden/MCTI</t>
        </is>
      </c>
      <c r="C9" t="inlineStr">
        <is>
          <t>Brasil</t>
        </is>
      </c>
      <c r="E9" t="inlineStr">
        <is>
          <t>http://lattes.cnpq.br/3280250811525994</t>
        </is>
      </c>
    </row>
    <row r="10">
      <c r="A10" t="inlineStr">
        <is>
          <t>Gisele dos Santos Zepka Saraiva</t>
        </is>
      </c>
      <c r="B10" t="inlineStr">
        <is>
          <t>Cemaden/MCTI</t>
        </is>
      </c>
      <c r="C10" t="inlineStr">
        <is>
          <t>Brasil</t>
        </is>
      </c>
      <c r="E10" t="inlineStr">
        <is>
          <t>http://lattes.cnpq.br/6226055129974273</t>
        </is>
      </c>
    </row>
    <row r="11">
      <c r="A11" t="inlineStr">
        <is>
          <t>Graziela Scofield</t>
        </is>
      </c>
      <c r="B11" t="inlineStr">
        <is>
          <t>Cemaden/MCTI</t>
        </is>
      </c>
      <c r="C11" t="inlineStr">
        <is>
          <t>Brasil</t>
        </is>
      </c>
      <c r="E11" t="inlineStr">
        <is>
          <t>http://lattes.cnpq.br/8648556155554795</t>
        </is>
      </c>
    </row>
    <row r="12">
      <c r="A12" t="inlineStr">
        <is>
          <t>Leda Nardi</t>
        </is>
      </c>
      <c r="B12" t="inlineStr">
        <is>
          <t>UNESP</t>
        </is>
      </c>
      <c r="C12" t="inlineStr">
        <is>
          <t>Brasil</t>
        </is>
      </c>
      <c r="E12" t="inlineStr">
        <is>
          <t>http://lattes.cnpq.br/2979501883053251</t>
        </is>
      </c>
    </row>
    <row r="13">
      <c r="A13" t="inlineStr">
        <is>
          <t>Luciana R. Londe</t>
        </is>
      </c>
      <c r="B13" t="inlineStr">
        <is>
          <t>Cemaden/MCTI</t>
        </is>
      </c>
      <c r="C13" t="inlineStr">
        <is>
          <t>Brasil</t>
        </is>
      </c>
      <c r="D13" t="inlineStr">
        <is>
          <t>0000-0002-6494-0486</t>
        </is>
      </c>
      <c r="F13" t="inlineStr">
        <is>
          <t>ORCID válido</t>
        </is>
      </c>
    </row>
    <row r="14">
      <c r="A14" t="inlineStr">
        <is>
          <t>Magali Zilca Dantas</t>
        </is>
      </c>
      <c r="B14" t="inlineStr">
        <is>
          <t>ENAP</t>
        </is>
      </c>
      <c r="C14" t="inlineStr">
        <is>
          <t>Brasil</t>
        </is>
      </c>
      <c r="E14" t="inlineStr">
        <is>
          <t>http://lattes.cnpq.br/4640057018663796</t>
        </is>
      </c>
    </row>
    <row r="15">
      <c r="A15" t="inlineStr">
        <is>
          <t>Pamela Mércia Pinto Gomes</t>
        </is>
      </c>
      <c r="B15" t="inlineStr">
        <is>
          <t>Instituto TJNS / UFRJ</t>
        </is>
      </c>
      <c r="C15" t="inlineStr">
        <is>
          <t>Brasil</t>
        </is>
      </c>
      <c r="E15" t="inlineStr">
        <is>
          <t>http://lattes.cnpq.br/9810502689021007</t>
        </is>
      </c>
    </row>
    <row r="16">
      <c r="A16" t="inlineStr">
        <is>
          <t>Rebecca Luna Lucena</t>
        </is>
      </c>
      <c r="B16" t="inlineStr">
        <is>
          <t>UFRN</t>
        </is>
      </c>
      <c r="C16" t="inlineStr">
        <is>
          <t>Brasil</t>
        </is>
      </c>
      <c r="D16" t="inlineStr">
        <is>
          <t>0000-0003-4670-265X</t>
        </is>
      </c>
      <c r="F16" t="inlineStr">
        <is>
          <t>ORCID válido</t>
        </is>
      </c>
    </row>
    <row r="17">
      <c r="A17" t="inlineStr">
        <is>
          <t>Regla Somoza</t>
        </is>
      </c>
      <c r="B17" t="inlineStr">
        <is>
          <t>Cemaden/MCTI</t>
        </is>
      </c>
      <c r="C17" t="inlineStr">
        <is>
          <t>Brasil</t>
        </is>
      </c>
      <c r="E17" t="inlineStr">
        <is>
          <t>http://lattes.cnpq.br/1010059005093122</t>
        </is>
      </c>
    </row>
    <row r="18">
      <c r="A18" t="inlineStr">
        <is>
          <t>Rodrigo Silva da Conceição</t>
        </is>
      </c>
      <c r="B18" t="inlineStr">
        <is>
          <t>Cemaden/MCTI</t>
        </is>
      </c>
      <c r="C18" t="inlineStr">
        <is>
          <t>Brasil</t>
        </is>
      </c>
      <c r="E18" t="inlineStr">
        <is>
          <t>http://lattes.cnpq.br/6765553122333119</t>
        </is>
      </c>
    </row>
    <row r="19">
      <c r="A19" t="inlineStr">
        <is>
          <t>Rosinadja B. Morato</t>
        </is>
      </c>
      <c r="B19" t="inlineStr">
        <is>
          <t>IBGE</t>
        </is>
      </c>
      <c r="C19" t="inlineStr">
        <is>
          <t>Brasil</t>
        </is>
      </c>
      <c r="D19" t="inlineStr">
        <is>
          <t>0000-0002-0160-8478</t>
        </is>
      </c>
      <c r="F19" t="inlineStr">
        <is>
          <t>ORCID válido</t>
        </is>
      </c>
    </row>
    <row r="20">
      <c r="A20" t="inlineStr">
        <is>
          <t>Sara Fernandes Flor de Souza</t>
        </is>
      </c>
      <c r="B20" t="inlineStr">
        <is>
          <t>UFRN</t>
        </is>
      </c>
      <c r="C20" t="inlineStr">
        <is>
          <t>Brasil</t>
        </is>
      </c>
      <c r="D20" t="inlineStr">
        <is>
          <t>0000-0001-6829-3434</t>
        </is>
      </c>
      <c r="F20" t="inlineStr">
        <is>
          <t>ORCID válido</t>
        </is>
      </c>
    </row>
    <row r="21">
      <c r="A21" t="inlineStr">
        <is>
          <t>Silvia Saito</t>
        </is>
      </c>
      <c r="B21" t="inlineStr">
        <is>
          <t>Cemaden/MCTI</t>
        </is>
      </c>
      <c r="C21" t="inlineStr">
        <is>
          <t>Brasil</t>
        </is>
      </c>
      <c r="E21" t="inlineStr">
        <is>
          <t>http://lattes.cnpq.br/6697221737762500</t>
        </is>
      </c>
    </row>
    <row r="22">
      <c r="A22" t="inlineStr">
        <is>
          <t>Suzana Maria Gico Lima Montenegro</t>
        </is>
      </c>
      <c r="B22" t="inlineStr">
        <is>
          <t>UFPE</t>
        </is>
      </c>
      <c r="C22" t="inlineStr">
        <is>
          <t>Brasil</t>
        </is>
      </c>
      <c r="D22" t="inlineStr">
        <is>
          <t>0000-0002-2520-5761</t>
        </is>
      </c>
      <c r="F22" t="inlineStr">
        <is>
          <t>ORCID válido</t>
        </is>
      </c>
    </row>
    <row r="23">
      <c r="A23" t="inlineStr">
        <is>
          <t>Vanessa de Souza Hacon</t>
        </is>
      </c>
      <c r="B23" t="inlineStr">
        <is>
          <t>Ministério da Saúde</t>
        </is>
      </c>
      <c r="C23" t="inlineStr">
        <is>
          <t>Brasil</t>
        </is>
      </c>
      <c r="E23" t="inlineStr">
        <is>
          <t>http://lattes.cnpq.br/4546171962465390</t>
        </is>
      </c>
    </row>
    <row r="24">
      <c r="A24" t="inlineStr">
        <is>
          <t>Viviana Aguilar-Muñoz</t>
        </is>
      </c>
      <c r="B24" t="inlineStr">
        <is>
          <t>Cemaden/MCTI</t>
        </is>
      </c>
      <c r="C24" t="inlineStr">
        <is>
          <t>Brasil</t>
        </is>
      </c>
      <c r="D24" t="inlineStr">
        <is>
          <t>0000-0002-2899-8082</t>
        </is>
      </c>
      <c r="F24" t="inlineStr">
        <is>
          <t>ORCID válido</t>
        </is>
      </c>
    </row>
    <row r="25">
      <c r="A25" t="inlineStr">
        <is>
          <t>María Natalia Echegoyemberry</t>
        </is>
      </c>
      <c r="B25" t="inlineStr">
        <is>
          <t>XUMEK / Observatório de Justiça Sanitária e Climática</t>
        </is>
      </c>
      <c r="C25" t="inlineStr">
        <is>
          <t>Argentina</t>
        </is>
      </c>
      <c r="D25" t="inlineStr">
        <is>
          <t>0000-0001-9049-8233</t>
        </is>
      </c>
      <c r="F25" t="inlineStr">
        <is>
          <t>ORCID válido</t>
        </is>
      </c>
    </row>
    <row r="26">
      <c r="A26" t="inlineStr">
        <is>
          <t>Ana Isabel Huaico</t>
        </is>
      </c>
      <c r="B26" t="inlineStr">
        <is>
          <t>UTEM</t>
        </is>
      </c>
      <c r="C26" t="inlineStr">
        <is>
          <t>Chile</t>
        </is>
      </c>
      <c r="D26" t="inlineStr">
        <is>
          <t>0000-0001-7368-0455</t>
        </is>
      </c>
      <c r="F26" t="inlineStr">
        <is>
          <t>ORCID válido</t>
        </is>
      </c>
    </row>
    <row r="27">
      <c r="A27" t="inlineStr">
        <is>
          <t>Claudia C. Becerra</t>
        </is>
      </c>
      <c r="B27" t="inlineStr">
        <is>
          <t>GRID Chile</t>
        </is>
      </c>
      <c r="C27" t="inlineStr">
        <is>
          <t>Chile</t>
        </is>
      </c>
    </row>
    <row r="28">
      <c r="A28" t="inlineStr">
        <is>
          <t>Drielly Naamma Fonseca da Silva</t>
        </is>
      </c>
      <c r="B28" t="inlineStr">
        <is>
          <t>UTEM</t>
        </is>
      </c>
      <c r="C28" t="inlineStr">
        <is>
          <t>Chile</t>
        </is>
      </c>
      <c r="D28" t="inlineStr">
        <is>
          <t>0000-0002-1374-8697</t>
        </is>
      </c>
      <c r="F28" t="inlineStr">
        <is>
          <t>ORCID válido</t>
        </is>
      </c>
    </row>
    <row r="29">
      <c r="A29" t="inlineStr">
        <is>
          <t>Keyla Manuela Alencar da Silva Alves</t>
        </is>
      </c>
      <c r="B29" t="inlineStr">
        <is>
          <t>UTEM</t>
        </is>
      </c>
      <c r="C29" t="inlineStr">
        <is>
          <t>Chile</t>
        </is>
      </c>
      <c r="D29" t="inlineStr">
        <is>
          <t>0000-0001-7635-2430</t>
        </is>
      </c>
      <c r="F29" t="inlineStr">
        <is>
          <t>ORCID válido</t>
        </is>
      </c>
    </row>
    <row r="30">
      <c r="A30" t="inlineStr">
        <is>
          <t>Rayana Santos Araújo Palharini</t>
        </is>
      </c>
      <c r="B30" t="inlineStr">
        <is>
          <t>UTEM</t>
        </is>
      </c>
      <c r="C30" t="inlineStr">
        <is>
          <t>Chile</t>
        </is>
      </c>
      <c r="D30" t="inlineStr">
        <is>
          <t>0000-0001-5503-8450</t>
        </is>
      </c>
      <c r="F30" t="inlineStr">
        <is>
          <t>ORCID válido</t>
        </is>
      </c>
    </row>
    <row r="31">
      <c r="A31" t="inlineStr">
        <is>
          <t>Daniel López de Mesa Aguilar</t>
        </is>
      </c>
      <c r="B31" t="inlineStr">
        <is>
          <t>Universidad de Medellín</t>
        </is>
      </c>
      <c r="C31" t="inlineStr">
        <is>
          <t>Colômbia</t>
        </is>
      </c>
      <c r="D31" t="inlineStr">
        <is>
          <t>0000-0002-7577-5527</t>
        </is>
      </c>
      <c r="F31" t="inlineStr">
        <is>
          <t>ORCID válido</t>
        </is>
      </c>
    </row>
    <row r="32">
      <c r="A32" t="inlineStr">
        <is>
          <t>Diana Elizabeth Valencia Londoño</t>
        </is>
      </c>
      <c r="B32" t="inlineStr">
        <is>
          <t>Universidad de San Buenaventura</t>
        </is>
      </c>
      <c r="C32" t="inlineStr">
        <is>
          <t>Colômbia</t>
        </is>
      </c>
      <c r="D32" t="inlineStr">
        <is>
          <t>0000-0002-4542-4128</t>
        </is>
      </c>
      <c r="F32" t="inlineStr">
        <is>
          <t>ORCID válido</t>
        </is>
      </c>
    </row>
    <row r="33">
      <c r="A33" t="inlineStr">
        <is>
          <t>Diana Patricia Mendoza Gonzalez</t>
        </is>
      </c>
      <c r="B33" t="inlineStr">
        <is>
          <t>Pesquisadora independente</t>
        </is>
      </c>
      <c r="C33" t="inlineStr">
        <is>
          <t>Colômbia</t>
        </is>
      </c>
      <c r="D33" t="inlineStr">
        <is>
          <t>0000-0002-9961-1025</t>
        </is>
      </c>
      <c r="F33" t="inlineStr">
        <is>
          <t>ORCID válido</t>
        </is>
      </c>
    </row>
    <row r="34">
      <c r="A34" t="inlineStr">
        <is>
          <t>Janet Barco</t>
        </is>
      </c>
      <c r="B34" t="inlineStr">
        <is>
          <t>Pesquisadora independente</t>
        </is>
      </c>
      <c r="C34" t="inlineStr">
        <is>
          <t>Colômbia</t>
        </is>
      </c>
      <c r="D34" t="inlineStr">
        <is>
          <t>0000-0003-3919-0027</t>
        </is>
      </c>
      <c r="F34" t="inlineStr">
        <is>
          <t>ORCID válido</t>
        </is>
      </c>
    </row>
    <row r="35">
      <c r="A35" t="inlineStr">
        <is>
          <t>Johnny Alexander Vega Gutiérrez</t>
        </is>
      </c>
      <c r="B35" t="inlineStr">
        <is>
          <t>Universidad de Medellín</t>
        </is>
      </c>
      <c r="C35" t="inlineStr">
        <is>
          <t>Colômbia</t>
        </is>
      </c>
      <c r="D35" t="inlineStr">
        <is>
          <t>0000-0002-0662-7213</t>
        </is>
      </c>
      <c r="F35" t="inlineStr">
        <is>
          <t>ORCID válido</t>
        </is>
      </c>
    </row>
    <row r="36">
      <c r="A36" t="inlineStr">
        <is>
          <t>Natalia María Posada Pérez</t>
        </is>
      </c>
      <c r="B36" t="inlineStr">
        <is>
          <t>Colegio Mayor de Antioquia</t>
        </is>
      </c>
      <c r="C36" t="inlineStr">
        <is>
          <t>Colômbia</t>
        </is>
      </c>
      <c r="D36" t="inlineStr">
        <is>
          <t>0000-0002-1853-2377</t>
        </is>
      </c>
      <c r="F36" t="inlineStr">
        <is>
          <t>ORCID válido</t>
        </is>
      </c>
    </row>
    <row r="37">
      <c r="A37" t="inlineStr">
        <is>
          <t>Paula Andrea Valencia Londoño</t>
        </is>
      </c>
      <c r="B37" t="inlineStr">
        <is>
          <t>Universidad de Medellín</t>
        </is>
      </c>
      <c r="C37" t="inlineStr">
        <is>
          <t>Colômbia</t>
        </is>
      </c>
      <c r="D37" t="inlineStr">
        <is>
          <t>0000-0002-1077-6959</t>
        </is>
      </c>
      <c r="F37" t="inlineStr">
        <is>
          <t>ORCID válido</t>
        </is>
      </c>
    </row>
    <row r="38">
      <c r="A38" t="inlineStr">
        <is>
          <t>Sara Andrea Giraldo Arias</t>
        </is>
      </c>
      <c r="B38" t="inlineStr">
        <is>
          <t>OPI4</t>
        </is>
      </c>
      <c r="C38" t="inlineStr">
        <is>
          <t>Colômbia</t>
        </is>
      </c>
      <c r="E38" t="inlineStr">
        <is>
          <t>https://www.linkedin.com/in/saragiraldoarias</t>
        </is>
      </c>
    </row>
    <row r="39">
      <c r="A39" t="inlineStr">
        <is>
          <t>Jazmín Calderón Quirós</t>
        </is>
      </c>
      <c r="B39" t="inlineStr">
        <is>
          <t>CeNAT/LANBA</t>
        </is>
      </c>
      <c r="C39" t="inlineStr">
        <is>
          <t>Costa Rica</t>
        </is>
      </c>
      <c r="D39" t="inlineStr">
        <is>
          <t>0000-0001-8316-1835</t>
        </is>
      </c>
      <c r="F39" t="inlineStr">
        <is>
          <t>ORCID válido</t>
        </is>
      </c>
    </row>
    <row r="40">
      <c r="A40" t="inlineStr">
        <is>
          <t>Jeannette Arauz Muñoz</t>
        </is>
      </c>
      <c r="B40" t="inlineStr">
        <is>
          <t>CeNAT/LANBA</t>
        </is>
      </c>
      <c r="C40" t="inlineStr">
        <is>
          <t>Costa Rica</t>
        </is>
      </c>
      <c r="D40" t="inlineStr">
        <is>
          <t>0000-0002-9867-6855</t>
        </is>
      </c>
      <c r="F40" t="inlineStr">
        <is>
          <t>ORCID válido</t>
        </is>
      </c>
    </row>
    <row r="41">
      <c r="A41" t="inlineStr">
        <is>
          <t>Natividad García Troncoso</t>
        </is>
      </c>
      <c r="B41" t="inlineStr">
        <is>
          <t>ESPOL</t>
        </is>
      </c>
      <c r="C41" t="inlineStr">
        <is>
          <t>Equador</t>
        </is>
      </c>
      <c r="D41" t="inlineStr">
        <is>
          <t>0000-0002-1630-4274</t>
        </is>
      </c>
      <c r="F41" t="inlineStr">
        <is>
          <t>ORCID válido</t>
        </is>
      </c>
    </row>
    <row r="42">
      <c r="A42" t="inlineStr">
        <is>
          <t>Ruth Elena Ayala Carabajo</t>
        </is>
      </c>
      <c r="B42" t="inlineStr">
        <is>
          <t>ESPOL</t>
        </is>
      </c>
      <c r="C42" t="inlineStr">
        <is>
          <t>Equador</t>
        </is>
      </c>
      <c r="E42" t="inlineStr">
        <is>
          <t>https://www.linkedin.com/in/ruthayala</t>
        </is>
      </c>
    </row>
    <row r="43">
      <c r="A43" t="inlineStr">
        <is>
          <t>Edgar Abdiel Cedeño Jimenez</t>
        </is>
      </c>
      <c r="B43" t="inlineStr">
        <is>
          <t>UTP</t>
        </is>
      </c>
      <c r="C43" t="inlineStr">
        <is>
          <t>Panamá</t>
        </is>
      </c>
      <c r="D43" t="inlineStr">
        <is>
          <t>0009-0009-6849-3298</t>
        </is>
      </c>
      <c r="F43" t="inlineStr">
        <is>
          <t>ORCID válido</t>
        </is>
      </c>
    </row>
    <row r="44">
      <c r="A44" t="inlineStr">
        <is>
          <t>Erika Nora Flores Terreros</t>
        </is>
      </c>
      <c r="B44" t="inlineStr">
        <is>
          <t>CISMID-UNI</t>
        </is>
      </c>
      <c r="C44" t="inlineStr">
        <is>
          <t>Peru</t>
        </is>
      </c>
      <c r="D44" t="inlineStr">
        <is>
          <t>0000-0002-4111-9951</t>
        </is>
      </c>
      <c r="F44" t="inlineStr">
        <is>
          <t>ORCID válido</t>
        </is>
      </c>
    </row>
    <row r="45">
      <c r="A45" t="inlineStr">
        <is>
          <t>Raquel Dinorah Lejtreger Goldstein</t>
        </is>
      </c>
      <c r="B45" t="inlineStr">
        <is>
          <t>Udelar</t>
        </is>
      </c>
      <c r="C45" t="inlineStr">
        <is>
          <t>Uruguai</t>
        </is>
      </c>
    </row>
    <row r="46">
      <c r="A46" t="inlineStr">
        <is>
          <t>Total de pessoas listadas</t>
        </is>
      </c>
      <c r="F46">
        <f>COUNTA(A2:A45)</f>
        <v/>
      </c>
    </row>
    <row r="47">
      <c r="A47" t="inlineStr">
        <is>
          <t>Total com ORCID válido</t>
        </is>
      </c>
      <c r="F47">
        <f>COUNTIF(F2:F45,"ORCID válido")</f>
        <v/>
      </c>
    </row>
    <row r="49">
      <c r="A49" t="inlineStr">
        <is>
          <t>Claudia C. Becerra, Sara Andrea Giraldo Arias, Ruth Elena Ayala Carabajo e Raquel Dinorah Lejtreger Goldstein não possuem ORCID informado no Anexo 1. Solicitar o identificador antes do primeiro depósito em que figurem como autoras.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Recurso</t>
        </is>
      </c>
      <c r="B1" t="inlineStr">
        <is>
          <t>Idioma</t>
        </is>
      </c>
      <c r="C1" t="inlineStr">
        <is>
          <t>Licença</t>
        </is>
      </c>
      <c r="D1" t="inlineStr">
        <is>
          <t>Palavra-chave Principal</t>
        </is>
      </c>
      <c r="E1" t="inlineStr">
        <is>
          <t>Técnica de Agregação</t>
        </is>
      </c>
      <c r="F1" t="inlineStr">
        <is>
          <t>Status do Fluxo</t>
        </is>
      </c>
      <c r="G1" t="inlineStr">
        <is>
          <t>Papel na Autoria</t>
        </is>
      </c>
      <c r="H1" t="inlineStr">
        <is>
          <t>Papel na Autoria</t>
        </is>
      </c>
    </row>
    <row r="2">
      <c r="A2" t="inlineStr">
        <is>
          <t>Artigo</t>
        </is>
      </c>
      <c r="B2" t="inlineStr">
        <is>
          <t>Português</t>
        </is>
      </c>
      <c r="C2" t="inlineStr">
        <is>
          <t>CC BY 4.0</t>
        </is>
      </c>
      <c r="D2" t="inlineStr">
        <is>
          <t>Interseccionalidade</t>
        </is>
      </c>
      <c r="E2" t="inlineStr">
        <is>
          <t>Não se aplica</t>
        </is>
      </c>
      <c r="F2" t="inlineStr">
        <is>
          <t>Em preparação</t>
        </is>
      </c>
      <c r="G2" t="inlineStr">
        <is>
          <t>Brasil</t>
        </is>
      </c>
      <c r="H2" t="inlineStr">
        <is>
          <t>Concepção</t>
        </is>
      </c>
    </row>
    <row r="3">
      <c r="A3" t="inlineStr">
        <is>
          <t>Relatório técnico</t>
        </is>
      </c>
      <c r="B3" t="inlineStr">
        <is>
          <t>Espanhol</t>
        </is>
      </c>
      <c r="C3" t="inlineStr">
        <is>
          <t>CC BY-SA 4.0</t>
        </is>
      </c>
      <c r="D3" t="inlineStr">
        <is>
          <t>Justiça climática</t>
        </is>
      </c>
      <c r="E3" t="inlineStr">
        <is>
          <t>Agregação por setor censitário</t>
        </is>
      </c>
      <c r="F3" t="inlineStr">
        <is>
          <t>Metadados completos</t>
        </is>
      </c>
      <c r="G3" t="inlineStr">
        <is>
          <t>Argentina</t>
        </is>
      </c>
      <c r="H3" t="inlineStr">
        <is>
          <t>Dados</t>
        </is>
      </c>
    </row>
    <row r="4">
      <c r="A4" t="inlineStr">
        <is>
          <t>Conjunto de dados</t>
        </is>
      </c>
      <c r="B4" t="inlineStr">
        <is>
          <t>Inglês</t>
        </is>
      </c>
      <c r="C4" t="inlineStr">
        <is>
          <t>CC BY-NC 4.0</t>
        </is>
      </c>
      <c r="D4" t="inlineStr">
        <is>
          <t>Redução de riscos de desastres</t>
        </is>
      </c>
      <c r="E4" t="inlineStr">
        <is>
          <t>Supressão de células pequenas</t>
        </is>
      </c>
      <c r="F4" t="inlineStr">
        <is>
          <t>Depositado</t>
        </is>
      </c>
      <c r="G4" t="inlineStr">
        <is>
          <t>Chile</t>
        </is>
      </c>
      <c r="H4" t="inlineStr">
        <is>
          <t>Redação</t>
        </is>
      </c>
    </row>
    <row r="5">
      <c r="A5" t="inlineStr">
        <is>
          <t>Material de formação</t>
        </is>
      </c>
      <c r="B5" t="inlineStr">
        <is>
          <t>Português e Espanhol</t>
        </is>
      </c>
      <c r="C5" t="inlineStr">
        <is>
          <t>CC0 1.0</t>
        </is>
      </c>
      <c r="D5" t="inlineStr">
        <is>
          <t>Gênero e desastres</t>
        </is>
      </c>
      <c r="E5" t="inlineStr">
        <is>
          <t>Anonimização</t>
        </is>
      </c>
      <c r="F5" t="inlineStr">
        <is>
          <t>Publicado</t>
        </is>
      </c>
      <c r="G5" t="inlineStr">
        <is>
          <t>Colômbia</t>
        </is>
      </c>
      <c r="H5" t="inlineStr">
        <is>
          <t>Revisão crítica</t>
        </is>
      </c>
    </row>
    <row r="6">
      <c r="A6" t="inlineStr">
        <is>
          <t>Protocolo</t>
        </is>
      </c>
      <c r="B6" t="inlineStr">
        <is>
          <t>Multilíngue com língua originária</t>
        </is>
      </c>
      <c r="C6" t="inlineStr">
        <is>
          <t>Outra — justificar</t>
        </is>
      </c>
      <c r="D6" t="inlineStr">
        <is>
          <t>Racismo ambiental</t>
        </is>
      </c>
      <c r="E6" t="inlineStr">
        <is>
          <t>Agregação por município</t>
        </is>
      </c>
      <c r="F6" t="inlineStr">
        <is>
          <t>Bloqueado</t>
        </is>
      </c>
      <c r="G6" t="inlineStr">
        <is>
          <t>Costa Rica</t>
        </is>
      </c>
      <c r="H6" t="inlineStr">
        <is>
          <t>Coordenação</t>
        </is>
      </c>
    </row>
    <row r="7">
      <c r="A7" t="inlineStr">
        <is>
          <t>Software</t>
        </is>
      </c>
      <c r="D7" t="inlineStr">
        <is>
          <t>Vulnerabilidade social</t>
        </is>
      </c>
      <c r="G7" t="inlineStr">
        <is>
          <t>Equador</t>
        </is>
      </c>
      <c r="H7" t="inlineStr">
        <is>
          <t>Análise de dados</t>
        </is>
      </c>
    </row>
    <row r="8">
      <c r="D8" t="inlineStr">
        <is>
          <t>Impact-based forecasting</t>
        </is>
      </c>
      <c r="G8" t="inlineStr">
        <is>
          <t>Panamá</t>
        </is>
      </c>
      <c r="H8" t="inlineStr">
        <is>
          <t>Trabalho de campo</t>
        </is>
      </c>
    </row>
    <row r="9">
      <c r="D9" t="inlineStr">
        <is>
          <t>Protocolos decoloniais</t>
        </is>
      </c>
      <c r="G9" t="inlineStr">
        <is>
          <t>Peru</t>
        </is>
      </c>
    </row>
    <row r="10">
      <c r="D10" t="inlineStr">
        <is>
          <t>SoVI-I ALC</t>
        </is>
      </c>
      <c r="G10" t="inlineStr">
        <is>
          <t>Uruguai</t>
        </is>
      </c>
      <c r="H10" t="inlineStr">
        <is>
          <t>Sim</t>
        </is>
      </c>
    </row>
    <row r="11">
      <c r="D11" t="inlineStr">
        <is>
          <t>BATER-ALC</t>
        </is>
      </c>
      <c r="H11" t="inlineStr">
        <is>
          <t>Não — revisar antes do depósito</t>
        </is>
      </c>
    </row>
    <row r="12">
      <c r="D12" t="inlineStr">
        <is>
          <t>Índice de Inclusão Interseccional</t>
        </is>
      </c>
    </row>
    <row r="13">
      <c r="D13" t="inlineStr">
        <is>
          <t>Dados censitários</t>
        </is>
      </c>
      <c r="H13" t="inlineStr">
        <is>
          <t>Não</t>
        </is>
      </c>
    </row>
    <row r="14">
      <c r="D14" t="inlineStr">
        <is>
          <t>Povos indígenas</t>
        </is>
      </c>
      <c r="H14" t="inlineStr">
        <is>
          <t>Sim — vedado o depósito</t>
        </is>
      </c>
    </row>
    <row r="15">
      <c r="D15" t="inlineStr">
        <is>
          <t>Segurança hídrica</t>
        </is>
      </c>
    </row>
    <row r="16">
      <c r="D16" t="inlineStr">
        <is>
          <t>Saúde pública e clima</t>
        </is>
      </c>
    </row>
    <row r="17">
      <c r="D17" t="inlineStr">
        <is>
          <t>Comunicação de risco</t>
        </is>
      </c>
    </row>
    <row r="19">
      <c r="A19" t="inlineStr">
        <is>
          <t>Vocabulário Controlado — versão 1.1 · outubro de 2026. A versão trilíngue definitiva, com 65 termos em 11 domínios, definições e relações de tesauro em português, espanhol e inglês, está na aba 'Vocabulário PT-ES-EN'. As listas desta aba permanecem como fonte técnica das validações de dados das abas 'Ficha de Depósito' e 'Autoria'. Mapa de aplicação campo a campo na aba 'Mapa de Uso'. Aprovação formal pendente do Comitê Gestor Interinstitucional.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8" customWidth="1" min="3" max="3"/>
    <col width="28" customWidth="1" min="4" max="4"/>
    <col width="28" customWidth="1" min="5" max="5"/>
    <col width="52" customWidth="1" min="6" max="6"/>
    <col width="52" customWidth="1" min="7" max="7"/>
    <col width="52" customWidth="1" min="8" max="8"/>
    <col width="30" customWidth="1" min="9" max="9"/>
    <col width="24" customWidth="1" min="10" max="10"/>
    <col width="34" customWidth="1" min="11" max="11"/>
    <col width="30" customWidth="1" min="12" max="12"/>
    <col width="10" customWidth="1" min="13" max="13"/>
    <col width="38" customWidth="1" min="14" max="14"/>
  </cols>
  <sheetData>
    <row r="1">
      <c r="A1" s="1" t="inlineStr">
        <is>
          <t>Vocabulário Controlado da Rede Interseccional de Resiliência — versão trilíngue</t>
        </is>
      </c>
    </row>
    <row r="2">
      <c r="A2" s="2" t="inlineStr">
        <is>
          <t>Versão 1.0 · Outubro de 2026 · 65 termos em 11 domínios · Português, Español, English</t>
        </is>
      </c>
    </row>
    <row r="3">
      <c r="A3" s="2" t="inlineStr">
        <is>
          <t>Escopo: termos de indexação, classificação e preenchimento de metadados nos depósitos da Rede no Zenodo.</t>
        </is>
      </c>
    </row>
    <row r="4">
      <c r="A4" s="2" t="inlineStr">
        <is>
          <t>Status geral: proposto para aprovação do Comitê Gestor Interinstitucional (CGI). A aprovação formal pelo CGI é o ato que torna esta versão vinculante. Até lá, os termos abaixo já podem ser usados operacionalmente.</t>
        </is>
      </c>
    </row>
    <row r="5">
      <c r="A5" s="2" t="inlineStr">
        <is>
          <t>Regra de uso: termos preferenciais devem ser grafados exatamente como na coluna do idioma correspondente. Sinônimos listados na coluna 'USE FOR' não devem ser usados como termo de indexação.</t>
        </is>
      </c>
    </row>
    <row r="6">
      <c r="A6" s="2" t="inlineStr">
        <is>
          <t>Modelo de governança: alterações exigem justificativa registrada, versão incrementada e aprovação do CGI. O domínio 'Palavra-chave Principal' segue a lógica de um tesauro: termo geral (TG) e termos específicos (TE) indicam relações hierárquicas.</t>
        </is>
      </c>
    </row>
    <row r="8">
      <c r="A8" s="3" t="inlineStr">
        <is>
          <t>ID</t>
        </is>
      </c>
      <c r="B8" s="3" t="inlineStr">
        <is>
          <t>Domínio</t>
        </is>
      </c>
      <c r="C8" s="3" t="inlineStr">
        <is>
          <t>Termo PT (preferencial)</t>
        </is>
      </c>
      <c r="D8" s="3" t="inlineStr">
        <is>
          <t>Término ES (preferente)</t>
        </is>
      </c>
      <c r="E8" s="3" t="inlineStr">
        <is>
          <t>Preferred term EN</t>
        </is>
      </c>
      <c r="F8" s="3" t="inlineStr">
        <is>
          <t>Definição PT</t>
        </is>
      </c>
      <c r="G8" s="3" t="inlineStr">
        <is>
          <t>Definición ES</t>
        </is>
      </c>
      <c r="H8" s="3" t="inlineStr">
        <is>
          <t>Definition EN</t>
        </is>
      </c>
      <c r="I8" s="3" t="inlineStr">
        <is>
          <t>USE FOR / sinônimos (PT)</t>
        </is>
      </c>
      <c r="J8" s="3" t="inlineStr">
        <is>
          <t>TG — termo geral</t>
        </is>
      </c>
      <c r="K8" s="3" t="inlineStr">
        <is>
          <t>TE — termos específicos</t>
        </is>
      </c>
      <c r="L8" s="3" t="inlineStr">
        <is>
          <t>Fonte de referência</t>
        </is>
      </c>
      <c r="M8" s="3" t="inlineStr">
        <is>
          <t>Status</t>
        </is>
      </c>
      <c r="N8" s="3" t="inlineStr">
        <is>
          <t>Observações de uso</t>
        </is>
      </c>
    </row>
    <row r="9">
      <c r="A9" s="4" t="inlineStr">
        <is>
          <t>VC-TR-01</t>
        </is>
      </c>
      <c r="B9" s="4" t="inlineStr">
        <is>
          <t>Tipo de Recurso</t>
        </is>
      </c>
      <c r="C9" s="4" t="inlineStr">
        <is>
          <t>Artigo</t>
        </is>
      </c>
      <c r="D9" s="4" t="inlineStr">
        <is>
          <t>Artículo</t>
        </is>
      </c>
      <c r="E9" s="4" t="inlineStr">
        <is>
          <t>Article</t>
        </is>
      </c>
      <c r="F9" s="4" t="inlineStr">
        <is>
          <t>Manuscrito publicado ou aceito em periódico com revisão por pares.</t>
        </is>
      </c>
      <c r="G9" s="4" t="inlineStr">
        <is>
          <t>Manuscrito publicado o aceptado en revista con revisión por pares.</t>
        </is>
      </c>
      <c r="H9" s="4" t="inlineStr">
        <is>
          <t>Manuscript published or accepted in a peer-reviewed journal.</t>
        </is>
      </c>
      <c r="I9" s="4" t="inlineStr">
        <is>
          <t>Trabalho completo; Paper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Proposto</t>
        </is>
      </c>
      <c r="N9" s="4" t="inlineStr">
        <is>
          <t>DOI obrigatório antes da divulgação.</t>
        </is>
      </c>
    </row>
    <row r="10">
      <c r="A10" s="5" t="inlineStr">
        <is>
          <t>VC-TR-02</t>
        </is>
      </c>
      <c r="B10" s="5" t="inlineStr">
        <is>
          <t>Tipo de Recurso</t>
        </is>
      </c>
      <c r="C10" s="5" t="inlineStr">
        <is>
          <t>Relatório técnico</t>
        </is>
      </c>
      <c r="D10" s="5" t="inlineStr">
        <is>
          <t>Informe técnico</t>
        </is>
      </c>
      <c r="E10" s="5" t="inlineStr">
        <is>
          <t>Technical report</t>
        </is>
      </c>
      <c r="F10" s="5" t="inlineStr">
        <is>
          <t>Documento de sistematização, protocolo ou resultado de projeto, sem revisão por pares.</t>
        </is>
      </c>
      <c r="G10" s="5" t="inlineStr">
        <is>
          <t>Documento de sistematización, protocolo o resultado de proyecto, sin revisión por pares.</t>
        </is>
      </c>
      <c r="H10" s="5" t="inlineStr">
        <is>
          <t>Systematization document, protocol or project result, without peer review.</t>
        </is>
      </c>
      <c r="I10" s="5" t="inlineStr">
        <is>
          <t>Relatório de projeto; Produto técnico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Proposto</t>
        </is>
      </c>
      <c r="N10" s="5" t="inlineStr">
        <is>
          <t>Exige leitura crítica de instituição de país distinto.</t>
        </is>
      </c>
    </row>
    <row r="11">
      <c r="A11" s="4" t="inlineStr">
        <is>
          <t>VC-TR-03</t>
        </is>
      </c>
      <c r="B11" s="4" t="inlineStr">
        <is>
          <t>Tipo de Recurso</t>
        </is>
      </c>
      <c r="C11" s="4" t="inlineStr">
        <is>
          <t>Conjunto de dados</t>
        </is>
      </c>
      <c r="D11" s="4" t="inlineStr">
        <is>
          <t>Conjunto de datos</t>
        </is>
      </c>
      <c r="E11" s="4" t="inlineStr">
        <is>
          <t>Dataset</t>
        </is>
      </c>
      <c r="F11" s="4" t="inlineStr">
        <is>
          <t>Coleção estruturada de dados depositada com metadados que permitem reuso por terceiros.</t>
        </is>
      </c>
      <c r="G11" s="4" t="inlineStr">
        <is>
          <t>Colección estructurada de datos depositada con metadatos que permiten su reutilización por terceros.</t>
        </is>
      </c>
      <c r="H11" s="4" t="inlineStr">
        <is>
          <t>Structured data collection deposited with metadata enabling third-party reuse.</t>
        </is>
      </c>
      <c r="I11" s="4" t="inlineStr">
        <is>
          <t>Base de dados; Dataset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Proposto</t>
        </is>
      </c>
      <c r="N11" s="4" t="inlineStr">
        <is>
          <t>Sempre acompanhado de declaração da técnica de agregação.</t>
        </is>
      </c>
    </row>
    <row r="12">
      <c r="A12" s="5" t="inlineStr">
        <is>
          <t>VC-TR-04</t>
        </is>
      </c>
      <c r="B12" s="5" t="inlineStr">
        <is>
          <t>Tipo de Recurso</t>
        </is>
      </c>
      <c r="C12" s="5" t="inlineStr">
        <is>
          <t>Material de formação</t>
        </is>
      </c>
      <c r="D12" s="5" t="inlineStr">
        <is>
          <t>Material de formación</t>
        </is>
      </c>
      <c r="E12" s="5" t="inlineStr">
        <is>
          <t>Training material</t>
        </is>
      </c>
      <c r="F12" s="5" t="inlineStr">
        <is>
          <t>Conteúdo pedagógico destinado à capacitação de multiplicadores, gestores ou comunidades.</t>
        </is>
      </c>
      <c r="G12" s="5" t="inlineStr">
        <is>
          <t>Contenido pedagógico destinado a la capacitación de multiplicadores, gestores o comunidades.</t>
        </is>
      </c>
      <c r="H12" s="5" t="inlineStr">
        <is>
          <t>Educational content for training multipliers, managers or communities.</t>
        </is>
      </c>
      <c r="I12" s="5" t="inlineStr">
        <is>
          <t>Cartilha; Kit; Material didático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Proposto</t>
        </is>
      </c>
      <c r="N12" s="5" t="inlineStr">
        <is>
          <t>Incluir versão em língua originária quando aplicável.</t>
        </is>
      </c>
    </row>
    <row r="13">
      <c r="A13" s="4" t="inlineStr">
        <is>
          <t>VC-TR-05</t>
        </is>
      </c>
      <c r="B13" s="4" t="inlineStr">
        <is>
          <t>Tipo de Recurso</t>
        </is>
      </c>
      <c r="C13" s="4" t="inlineStr">
        <is>
          <t>Protocolo</t>
        </is>
      </c>
      <c r="D13" s="4" t="inlineStr">
        <is>
          <t>Protocolo</t>
        </is>
      </c>
      <c r="E13" s="4" t="inlineStr">
        <is>
          <t>Protocol</t>
        </is>
      </c>
      <c r="F13" s="4" t="inlineStr">
        <is>
          <t>Procedimento operacional documentado, validado e versionado para aplicação em território.</t>
        </is>
      </c>
      <c r="G13" s="4" t="inlineStr">
        <is>
          <t>Procedimiento operativo documentado, validado y versionado para aplicación en territorio.</t>
        </is>
      </c>
      <c r="H13" s="4" t="inlineStr">
        <is>
          <t>Documented, validated and versioned operating procedure for field application.</t>
        </is>
      </c>
      <c r="I13" s="4" t="inlineStr">
        <is>
          <t>Protocolo operacional; POP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Proposto</t>
        </is>
      </c>
      <c r="N13" s="4" t="inlineStr">
        <is>
          <t>Exige registro da validação com lideranças locais.</t>
        </is>
      </c>
    </row>
    <row r="14">
      <c r="A14" s="5" t="inlineStr">
        <is>
          <t>VC-TR-06</t>
        </is>
      </c>
      <c r="B14" s="5" t="inlineStr">
        <is>
          <t>Tipo de Recurso</t>
        </is>
      </c>
      <c r="C14" s="5" t="inlineStr">
        <is>
          <t>Software</t>
        </is>
      </c>
      <c r="D14" s="5" t="inlineStr">
        <is>
          <t>Software</t>
        </is>
      </c>
      <c r="E14" s="5" t="inlineStr">
        <is>
          <t>Software</t>
        </is>
      </c>
      <c r="F14" s="5" t="inlineStr">
        <is>
          <t>Código executável, script ou aplicativo depositado com documentação de uso e dependências.</t>
        </is>
      </c>
      <c r="G14" s="5" t="inlineStr">
        <is>
          <t>Código ejecutable, script o aplicación depositada con documentación de uso y dependencias.</t>
        </is>
      </c>
      <c r="H14" s="5" t="inlineStr">
        <is>
          <t>Executable code, script or application deposited with usage documentation and dependencies.</t>
        </is>
      </c>
      <c r="I14" s="5" t="inlineStr">
        <is>
          <t>Script; Código; Aplicativo</t>
        </is>
      </c>
      <c r="J14" s="5" t="inlineStr">
        <is>
          <t>—</t>
        </is>
      </c>
      <c r="K14" s="5" t="inlineStr">
        <is>
          <t>—</t>
        </is>
      </c>
      <c r="L14" s="5" t="inlineStr">
        <is>
          <t>—</t>
        </is>
      </c>
      <c r="M14" s="5" t="inlineStr">
        <is>
          <t>Proposto</t>
        </is>
      </c>
      <c r="N14" s="5" t="inlineStr">
        <is>
          <t>Declarar licença de software separadamente da licença do conteúdo.</t>
        </is>
      </c>
    </row>
    <row r="15">
      <c r="A15" s="4" t="inlineStr">
        <is>
          <t>VC-ID-01</t>
        </is>
      </c>
      <c r="B15" s="4" t="inlineStr">
        <is>
          <t>Idioma</t>
        </is>
      </c>
      <c r="C15" s="4" t="inlineStr">
        <is>
          <t>Português</t>
        </is>
      </c>
      <c r="D15" s="4" t="inlineStr">
        <is>
          <t>Portugués</t>
        </is>
      </c>
      <c r="E15" s="4" t="inlineStr">
        <is>
          <t>Portuguese</t>
        </is>
      </c>
      <c r="F15" s="4" t="inlineStr">
        <is>
          <t>Idioma do arquivo ou dos metadados em português.</t>
        </is>
      </c>
      <c r="G15" s="4" t="inlineStr">
        <is>
          <t>Idioma del archivo o de los metadatos en portugués.</t>
        </is>
      </c>
      <c r="H15" s="4" t="inlineStr">
        <is>
          <t>Language of the file or metadata in Portuguese.</t>
        </is>
      </c>
      <c r="I15" s="4" t="inlineStr">
        <is>
          <t>PT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ISO 639-1: pt</t>
        </is>
      </c>
      <c r="M15" s="4" t="inlineStr">
        <is>
          <t>Proposto</t>
        </is>
      </c>
      <c r="N15" s="4" t="inlineStr">
        <is>
          <t>—</t>
        </is>
      </c>
    </row>
    <row r="16">
      <c r="A16" s="5" t="inlineStr">
        <is>
          <t>VC-ID-02</t>
        </is>
      </c>
      <c r="B16" s="5" t="inlineStr">
        <is>
          <t>Idioma</t>
        </is>
      </c>
      <c r="C16" s="5" t="inlineStr">
        <is>
          <t>Espanhol</t>
        </is>
      </c>
      <c r="D16" s="5" t="inlineStr">
        <is>
          <t>Español</t>
        </is>
      </c>
      <c r="E16" s="5" t="inlineStr">
        <is>
          <t>Spanish</t>
        </is>
      </c>
      <c r="F16" s="5" t="inlineStr">
        <is>
          <t>Idioma do arquivo ou dos metadados em espanhol.</t>
        </is>
      </c>
      <c r="G16" s="5" t="inlineStr">
        <is>
          <t>Idioma del archivo o de los metadatos en español.</t>
        </is>
      </c>
      <c r="H16" s="5" t="inlineStr">
        <is>
          <t>Language of the file or metadata in Spanish.</t>
        </is>
      </c>
      <c r="I16" s="5" t="inlineStr">
        <is>
          <t>ES; Castelhano</t>
        </is>
      </c>
      <c r="J16" s="5" t="inlineStr">
        <is>
          <t>—</t>
        </is>
      </c>
      <c r="K16" s="5" t="inlineStr">
        <is>
          <t>—</t>
        </is>
      </c>
      <c r="L16" s="5" t="inlineStr">
        <is>
          <t>ISO 639-1: es</t>
        </is>
      </c>
      <c r="M16" s="5" t="inlineStr">
        <is>
          <t>Proposto</t>
        </is>
      </c>
      <c r="N16" s="5" t="inlineStr">
        <is>
          <t>Língua de trabalho de oito dos nove países da Rede.</t>
        </is>
      </c>
    </row>
    <row r="17">
      <c r="A17" s="4" t="inlineStr">
        <is>
          <t>VC-ID-03</t>
        </is>
      </c>
      <c r="B17" s="4" t="inlineStr">
        <is>
          <t>Idioma</t>
        </is>
      </c>
      <c r="C17" s="4" t="inlineStr">
        <is>
          <t>Inglês</t>
        </is>
      </c>
      <c r="D17" s="4" t="inlineStr">
        <is>
          <t>Inglés</t>
        </is>
      </c>
      <c r="E17" s="4" t="inlineStr">
        <is>
          <t>English</t>
        </is>
      </c>
      <c r="F17" s="4" t="inlineStr">
        <is>
          <t>Idioma do arquivo ou dos metadados em inglês.</t>
        </is>
      </c>
      <c r="G17" s="4" t="inlineStr">
        <is>
          <t>Idioma del archivo o de los metadatos en inglés.</t>
        </is>
      </c>
      <c r="H17" s="4" t="inlineStr">
        <is>
          <t>Language of the file or metadata in English.</t>
        </is>
      </c>
      <c r="I17" s="4" t="inlineStr">
        <is>
          <t>EN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ISO 639-1: en</t>
        </is>
      </c>
      <c r="M17" s="4" t="inlineStr">
        <is>
          <t>Proposto</t>
        </is>
      </c>
      <c r="N17" s="4" t="inlineStr">
        <is>
          <t>Obrigatório no título apenas para Artigo.</t>
        </is>
      </c>
    </row>
    <row r="18">
      <c r="A18" s="5" t="inlineStr">
        <is>
          <t>VC-ID-04</t>
        </is>
      </c>
      <c r="B18" s="5" t="inlineStr">
        <is>
          <t>Idioma</t>
        </is>
      </c>
      <c r="C18" s="5" t="inlineStr">
        <is>
          <t>Português e Espanhol</t>
        </is>
      </c>
      <c r="D18" s="5" t="inlineStr">
        <is>
          <t>Portugués y español</t>
        </is>
      </c>
      <c r="E18" s="5" t="inlineStr">
        <is>
          <t>Portuguese and Spanish</t>
        </is>
      </c>
      <c r="F18" s="5" t="inlineStr">
        <is>
          <t>Arquivo bilíngue, com o mesmo conteúdo em português e espanhol.</t>
        </is>
      </c>
      <c r="G18" s="5" t="inlineStr">
        <is>
          <t>Archivo bilingüe, con el mismo contenido en portugués y español.</t>
        </is>
      </c>
      <c r="H18" s="5" t="inlineStr">
        <is>
          <t>Bilingual file with the same content in Portuguese and Spanish.</t>
        </is>
      </c>
      <c r="I18" s="5" t="inlineStr">
        <is>
          <t>Bilíngue PT-ES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—</t>
        </is>
      </c>
      <c r="M18" s="5" t="inlineStr">
        <is>
          <t>Proposto</t>
        </is>
      </c>
      <c r="N18" s="5" t="inlineStr">
        <is>
          <t>Preferencial para produtos de alcance regional.</t>
        </is>
      </c>
    </row>
    <row r="19">
      <c r="A19" s="4" t="inlineStr">
        <is>
          <t>VC-ID-05</t>
        </is>
      </c>
      <c r="B19" s="4" t="inlineStr">
        <is>
          <t>Idioma</t>
        </is>
      </c>
      <c r="C19" s="4" t="inlineStr">
        <is>
          <t>Multilíngue com língua originária</t>
        </is>
      </c>
      <c r="D19" s="4" t="inlineStr">
        <is>
          <t>Multilingüe con lengua originaria</t>
        </is>
      </c>
      <c r="E19" s="4" t="inlineStr">
        <is>
          <t>Multilingual with Indigenous language</t>
        </is>
      </c>
      <c r="F19" s="4" t="inlineStr">
        <is>
          <t>Arquivo que inclui, além de português ou espanhol, uma língua originária.</t>
        </is>
      </c>
      <c r="G19" s="4" t="inlineStr">
        <is>
          <t>Archivo que incluye, además de portugués o español, una lengua originaria.</t>
        </is>
      </c>
      <c r="H19" s="4" t="inlineStr">
        <is>
          <t>File including, besides Portuguese or Spanish, an Indigenous language.</t>
        </is>
      </c>
      <c r="I19" s="4" t="inlineStr">
        <is>
          <t>Quíchua; Aimará; Língua indígena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Proposto</t>
        </is>
      </c>
      <c r="N19" s="4" t="inlineStr">
        <is>
          <t>Declarar no metadado qual língua originária foi utilizada.</t>
        </is>
      </c>
    </row>
    <row r="20">
      <c r="A20" s="5" t="inlineStr">
        <is>
          <t>VC-LI-01</t>
        </is>
      </c>
      <c r="B20" s="5" t="inlineStr">
        <is>
          <t>Licença</t>
        </is>
      </c>
      <c r="C20" s="5" t="inlineStr">
        <is>
          <t>CC BY 4.0</t>
        </is>
      </c>
      <c r="D20" s="5" t="inlineStr">
        <is>
          <t>CC BY 4.0</t>
        </is>
      </c>
      <c r="E20" s="5" t="inlineStr">
        <is>
          <t>CC BY 4.0</t>
        </is>
      </c>
      <c r="F20" s="5" t="inlineStr">
        <is>
          <t>Creative Commons Atribuição 4.0 Internacional: permite uso, adaptação e redistribuição com atribuição de autoria.</t>
        </is>
      </c>
      <c r="G20" s="5" t="inlineStr">
        <is>
          <t>Creative Commons Atribución 4.0 Internacional: permite uso, adaptación y redistribución con atribución de autoría.</t>
        </is>
      </c>
      <c r="H20" s="5" t="inlineStr">
        <is>
          <t>Creative Commons Attribution 4.0 International: allows use, adaptation and redistribution with attribution.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Creative Commons</t>
        </is>
      </c>
      <c r="M20" s="5" t="inlineStr">
        <is>
          <t>Proposto</t>
        </is>
      </c>
      <c r="N20" s="5" t="inlineStr">
        <is>
          <t>Licença padrão da Rede.</t>
        </is>
      </c>
    </row>
    <row r="21">
      <c r="A21" s="4" t="inlineStr">
        <is>
          <t>VC-LI-02</t>
        </is>
      </c>
      <c r="B21" s="4" t="inlineStr">
        <is>
          <t>Licença</t>
        </is>
      </c>
      <c r="C21" s="4" t="inlineStr">
        <is>
          <t>CC BY-SA 4.0</t>
        </is>
      </c>
      <c r="D21" s="4" t="inlineStr">
        <is>
          <t>CC BY-SA 4.0</t>
        </is>
      </c>
      <c r="E21" s="4" t="inlineStr">
        <is>
          <t>CC BY-SA 4.0</t>
        </is>
      </c>
      <c r="F21" s="4" t="inlineStr">
        <is>
          <t>Creative Commons Atribuição-CompartilhaIgual 4.0: derivados devem manter a mesma licença.</t>
        </is>
      </c>
      <c r="G21" s="4" t="inlineStr">
        <is>
          <t>Creative Commons Atribución-CompartirIgual 4.0: las obras derivadas deben mantener la misma licencia.</t>
        </is>
      </c>
      <c r="H21" s="4" t="inlineStr">
        <is>
          <t>Creative Commons Attribution-ShareAlike 4.0: derivatives must keep the same license.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Creative Commons</t>
        </is>
      </c>
      <c r="M21" s="4" t="inlineStr">
        <is>
          <t>Proposto</t>
        </is>
      </c>
      <c r="N21" s="4" t="inlineStr">
        <is>
          <t>Usar quando houver risco de apropriação privada.</t>
        </is>
      </c>
    </row>
    <row r="22">
      <c r="A22" s="5" t="inlineStr">
        <is>
          <t>VC-LI-03</t>
        </is>
      </c>
      <c r="B22" s="5" t="inlineStr">
        <is>
          <t>Licença</t>
        </is>
      </c>
      <c r="C22" s="5" t="inlineStr">
        <is>
          <t>CC BY-NC 4.0</t>
        </is>
      </c>
      <c r="D22" s="5" t="inlineStr">
        <is>
          <t>CC BY-NC 4.0</t>
        </is>
      </c>
      <c r="E22" s="5" t="inlineStr">
        <is>
          <t>CC BY-NC 4.0</t>
        </is>
      </c>
      <c r="F22" s="5" t="inlineStr">
        <is>
          <t>Creative Commons Atribuição-NãoComercial 4.0: veda uso comercial.</t>
        </is>
      </c>
      <c r="G22" s="5" t="inlineStr">
        <is>
          <t>Creative Commons Atribución-NoComercial 4.0: prohíbe el uso comercial.</t>
        </is>
      </c>
      <c r="H22" s="5" t="inlineStr">
        <is>
          <t>Creative Commons Attribution-NonCommercial 4.0: prohibits commercial use.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Creative Commons</t>
        </is>
      </c>
      <c r="M22" s="5" t="inlineStr">
        <is>
          <t>Proposto</t>
        </is>
      </c>
      <c r="N22" s="5" t="inlineStr">
        <is>
          <t>Exige justificativa registrada no CGI.</t>
        </is>
      </c>
    </row>
    <row r="23">
      <c r="A23" s="4" t="inlineStr">
        <is>
          <t>VC-LI-04</t>
        </is>
      </c>
      <c r="B23" s="4" t="inlineStr">
        <is>
          <t>Licença</t>
        </is>
      </c>
      <c r="C23" s="4" t="inlineStr">
        <is>
          <t>CC0 1.0</t>
        </is>
      </c>
      <c r="D23" s="4" t="inlineStr">
        <is>
          <t>CC0 1.0</t>
        </is>
      </c>
      <c r="E23" s="4" t="inlineStr">
        <is>
          <t>CC0 1.0</t>
        </is>
      </c>
      <c r="F23" s="4" t="inlineStr">
        <is>
          <t>Dedicação ao domínio público: renúncia a todos os direitos autorais.</t>
        </is>
      </c>
      <c r="G23" s="4" t="inlineStr">
        <is>
          <t>Dedicación al dominio público: renuncia a todos los derechos de autor.</t>
        </is>
      </c>
      <c r="H23" s="4" t="inlineStr">
        <is>
          <t>Public domain dedication: waiver of all copyright.</t>
        </is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Creative Commons</t>
        </is>
      </c>
      <c r="M23" s="4" t="inlineStr">
        <is>
          <t>Proposto</t>
        </is>
      </c>
      <c r="N23" s="4" t="inlineStr">
        <is>
          <t>Indicada para dados brutos de baixo risco.</t>
        </is>
      </c>
    </row>
    <row r="24">
      <c r="A24" s="5" t="inlineStr">
        <is>
          <t>VC-LI-05</t>
        </is>
      </c>
      <c r="B24" s="5" t="inlineStr">
        <is>
          <t>Licença</t>
        </is>
      </c>
      <c r="C24" s="5" t="inlineStr">
        <is>
          <t>Outra — justificar</t>
        </is>
      </c>
      <c r="D24" s="5" t="inlineStr">
        <is>
          <t>Otra — justificar</t>
        </is>
      </c>
      <c r="E24" s="5" t="inlineStr">
        <is>
          <t>Other — justify</t>
        </is>
      </c>
      <c r="F24" s="5" t="inlineStr">
        <is>
          <t>Licença diferente das anteriores, com justificativa obrigatória no campo específico da ficha.</t>
        </is>
      </c>
      <c r="G24" s="5" t="inlineStr">
        <is>
          <t>Licencia distinta de las anteriores, con justificación obligatoria en el campo específico de la ficha.</t>
        </is>
      </c>
      <c r="H24" s="5" t="inlineStr">
        <is>
          <t>License other than the above, with justification required in the dedicated field.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5" t="inlineStr">
        <is>
          <t>Proposto</t>
        </is>
      </c>
      <c r="N24" s="5" t="inlineStr">
        <is>
          <t>Bloqueia a conferência automática até a justificativa ser preenchida.</t>
        </is>
      </c>
    </row>
    <row r="25">
      <c r="A25" s="4" t="inlineStr">
        <is>
          <t>VC-AC-01</t>
        </is>
      </c>
      <c r="B25" s="4" t="inlineStr">
        <is>
          <t>Acesso</t>
        </is>
      </c>
      <c r="C25" s="4" t="inlineStr">
        <is>
          <t>Aberto</t>
        </is>
      </c>
      <c r="D25" s="4" t="inlineStr">
        <is>
          <t>Abierto</t>
        </is>
      </c>
      <c r="E25" s="4" t="inlineStr">
        <is>
          <t>Open</t>
        </is>
      </c>
      <c r="F25" s="4" t="inlineStr">
        <is>
          <t>Produto disponível publicamente, sem restrição de leitura.</t>
        </is>
      </c>
      <c r="G25" s="4" t="inlineStr">
        <is>
          <t>Producto disponible públicamente, sin restricción de lectura.</t>
        </is>
      </c>
      <c r="H25" s="4" t="inlineStr">
        <is>
          <t>Product publicly available, with no reading restriction.</t>
        </is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Proposto</t>
        </is>
      </c>
      <c r="N25" s="4" t="inlineStr">
        <is>
          <t>Regra padrão da Rede.</t>
        </is>
      </c>
    </row>
    <row r="26">
      <c r="A26" s="5" t="inlineStr">
        <is>
          <t>VC-AC-02</t>
        </is>
      </c>
      <c r="B26" s="5" t="inlineStr">
        <is>
          <t>Acesso</t>
        </is>
      </c>
      <c r="C26" s="5" t="inlineStr">
        <is>
          <t>Restrito</t>
        </is>
      </c>
      <c r="D26" s="5" t="inlineStr">
        <is>
          <t>Restringido</t>
        </is>
      </c>
      <c r="E26" s="5" t="inlineStr">
        <is>
          <t>Restricted</t>
        </is>
      </c>
      <c r="F26" s="5" t="inlineStr">
        <is>
          <t>Acesso limitado a pessoas autorizadas, com justificativa registrada.</t>
        </is>
      </c>
      <c r="G26" s="5" t="inlineStr">
        <is>
          <t>Acceso limitado a personas autorizadas, con justificación registrada.</t>
        </is>
      </c>
      <c r="H26" s="5" t="inlineStr">
        <is>
          <t>Access limited to authorized persons, with recorded justification.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Proposto</t>
        </is>
      </c>
      <c r="N26" s="5" t="inlineStr">
        <is>
          <t>Exige fundamentação no CGI.</t>
        </is>
      </c>
    </row>
    <row r="27">
      <c r="A27" s="4" t="inlineStr">
        <is>
          <t>VC-AC-03</t>
        </is>
      </c>
      <c r="B27" s="4" t="inlineStr">
        <is>
          <t>Acesso</t>
        </is>
      </c>
      <c r="C27" s="4" t="inlineStr">
        <is>
          <t>Embargo</t>
        </is>
      </c>
      <c r="D27" s="4" t="inlineStr">
        <is>
          <t>Embargo</t>
        </is>
      </c>
      <c r="E27" s="4" t="inlineStr">
        <is>
          <t>Embargo</t>
        </is>
      </c>
      <c r="F27" s="4" t="inlineStr">
        <is>
          <t>Publicação adiada até uma data definida, normalmente por razão editorial ou de proteção de dados.</t>
        </is>
      </c>
      <c r="G27" s="4" t="inlineStr">
        <is>
          <t>Publicación aplazada hasta una fecha definida, normalmente por razón editorial o de protección de datos.</t>
        </is>
      </c>
      <c r="H27" s="4" t="inlineStr">
        <is>
          <t>Publication delayed until a set date, usually for editorial or data protection reasons.</t>
        </is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Proposto</t>
        </is>
      </c>
      <c r="N27" s="4" t="inlineStr">
        <is>
          <t>Exige data de fim de embargo.</t>
        </is>
      </c>
    </row>
    <row r="28">
      <c r="A28" s="5" t="inlineStr">
        <is>
          <t>VC-TA-01</t>
        </is>
      </c>
      <c r="B28" s="5" t="inlineStr">
        <is>
          <t>Técnica de Agregação</t>
        </is>
      </c>
      <c r="C28" s="5" t="inlineStr">
        <is>
          <t>Não se aplica</t>
        </is>
      </c>
      <c r="D28" s="5" t="inlineStr">
        <is>
          <t>No se aplica</t>
        </is>
      </c>
      <c r="E28" s="5" t="inlineStr">
        <is>
          <t>Not applicable</t>
        </is>
      </c>
      <c r="F28" s="5" t="inlineStr">
        <is>
          <t>Produto não derivado de dado pessoal, dispensando tratamento de agregação.</t>
        </is>
      </c>
      <c r="G28" s="5" t="inlineStr">
        <is>
          <t>Producto no derivado de dato personal, que no requiere tratamiento de agregación.</t>
        </is>
      </c>
      <c r="H28" s="5" t="inlineStr">
        <is>
          <t>Product not derived from personal data, requiring no aggregation treatment.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5" t="inlineStr">
        <is>
          <t>—</t>
        </is>
      </c>
      <c r="M28" s="5" t="inlineStr">
        <is>
          <t>Proposto</t>
        </is>
      </c>
      <c r="N28" s="5" t="inlineStr">
        <is>
          <t>Vedado para Conjunto de dados.</t>
        </is>
      </c>
    </row>
    <row r="29">
      <c r="A29" s="4" t="inlineStr">
        <is>
          <t>VC-TA-02</t>
        </is>
      </c>
      <c r="B29" s="4" t="inlineStr">
        <is>
          <t>Técnica de Agregação</t>
        </is>
      </c>
      <c r="C29" s="4" t="inlineStr">
        <is>
          <t>Agregação por setor censitário</t>
        </is>
      </c>
      <c r="D29" s="4" t="inlineStr">
        <is>
          <t>Agregación por sector censal</t>
        </is>
      </c>
      <c r="E29" s="4" t="inlineStr">
        <is>
          <t>Census tract aggregation</t>
        </is>
      </c>
      <c r="F29" s="4" t="inlineStr">
        <is>
          <t>Dados agrupados na menor unidade territorial do censo, impedindo identificação individual.</t>
        </is>
      </c>
      <c r="G29" s="4" t="inlineStr">
        <is>
          <t>Datos agrupados en la menor unidad territorial del censo, impidiendo la identificación individual.</t>
        </is>
      </c>
      <c r="H29" s="4" t="inlineStr">
        <is>
          <t>Data grouped at the smallest census territorial unit, preventing individual identification.</t>
        </is>
      </c>
      <c r="I29" s="4" t="inlineStr">
        <is>
          <t>Setor censitário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IBGE (2023)</t>
        </is>
      </c>
      <c r="M29" s="4" t="inlineStr">
        <is>
          <t>Proposto</t>
        </is>
      </c>
      <c r="N29" s="4" t="inlineStr">
        <is>
          <t>Técnica principal do SoVI-I ALC.</t>
        </is>
      </c>
    </row>
    <row r="30">
      <c r="A30" s="5" t="inlineStr">
        <is>
          <t>VC-TA-03</t>
        </is>
      </c>
      <c r="B30" s="5" t="inlineStr">
        <is>
          <t>Técnica de Agregação</t>
        </is>
      </c>
      <c r="C30" s="5" t="inlineStr">
        <is>
          <t>Supressão de células pequenas</t>
        </is>
      </c>
      <c r="D30" s="5" t="inlineStr">
        <is>
          <t>Supresión de celdas pequeñas</t>
        </is>
      </c>
      <c r="E30" s="5" t="inlineStr">
        <is>
          <t>Small cell suppression</t>
        </is>
      </c>
      <c r="F30" s="5" t="inlineStr">
        <is>
          <t>Omissão de contagens abaixo de um limiar definido, para evitar reidentificação por combinação.</t>
        </is>
      </c>
      <c r="G30" s="5" t="inlineStr">
        <is>
          <t>Omisión de recuentos por debajo de un umbral definido, para evitar la reidentificación por combinación.</t>
        </is>
      </c>
      <c r="H30" s="5" t="inlineStr">
        <is>
          <t>Omission of counts below a defined threshold to prevent re-identification by combination.</t>
        </is>
      </c>
      <c r="I30" s="5" t="inlineStr">
        <is>
          <t>Supressão primária; Controle de divulgação</t>
        </is>
      </c>
      <c r="J30" s="5" t="inlineStr">
        <is>
          <t>—</t>
        </is>
      </c>
      <c r="K30" s="5" t="inlineStr">
        <is>
          <t>—</t>
        </is>
      </c>
      <c r="L30" s="5" t="inlineStr">
        <is>
          <t>—</t>
        </is>
      </c>
      <c r="M30" s="5" t="inlineStr">
        <is>
          <t>Proposto</t>
        </is>
      </c>
      <c r="N30" s="5" t="inlineStr">
        <is>
          <t>Declarar o limiar aplicado.</t>
        </is>
      </c>
    </row>
    <row r="31">
      <c r="A31" s="4" t="inlineStr">
        <is>
          <t>VC-TA-04</t>
        </is>
      </c>
      <c r="B31" s="4" t="inlineStr">
        <is>
          <t>Técnica de Agregação</t>
        </is>
      </c>
      <c r="C31" s="4" t="inlineStr">
        <is>
          <t>Anonimização</t>
        </is>
      </c>
      <c r="D31" s="4" t="inlineStr">
        <is>
          <t>Anonimización</t>
        </is>
      </c>
      <c r="E31" s="4" t="inlineStr">
        <is>
          <t>Anonymization</t>
        </is>
      </c>
      <c r="F31" s="4" t="inlineStr">
        <is>
          <t>Remoção ou transformação irreversível de identificadores diretos e de quase-identificadores.</t>
        </is>
      </c>
      <c r="G31" s="4" t="inlineStr">
        <is>
          <t>Eliminación o transformación irreversible de identificadores directos y cuasi-identificadores.</t>
        </is>
      </c>
      <c r="H31" s="4" t="inlineStr">
        <is>
          <t>Irreversible removal or transformation of direct identifiers and quasi-identifiers.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LGPD, art. 5.º, XI</t>
        </is>
      </c>
      <c r="M31" s="4" t="inlineStr">
        <is>
          <t>Proposto</t>
        </is>
      </c>
      <c r="N31" s="4" t="inlineStr">
        <is>
          <t>Aplicável a dados primários de campo.</t>
        </is>
      </c>
    </row>
    <row r="32">
      <c r="A32" s="5" t="inlineStr">
        <is>
          <t>VC-TA-05</t>
        </is>
      </c>
      <c r="B32" s="5" t="inlineStr">
        <is>
          <t>Técnica de Agregação</t>
        </is>
      </c>
      <c r="C32" s="5" t="inlineStr">
        <is>
          <t>Agregação por município</t>
        </is>
      </c>
      <c r="D32" s="5" t="inlineStr">
        <is>
          <t>Agregación por municipio</t>
        </is>
      </c>
      <c r="E32" s="5" t="inlineStr">
        <is>
          <t>Municipality aggregation</t>
        </is>
      </c>
      <c r="F32" s="5" t="inlineStr">
        <is>
          <t>Dados agrupados na unidade administrativa municipal, com menor granularidade.</t>
        </is>
      </c>
      <c r="G32" s="5" t="inlineStr">
        <is>
          <t>Datos agrupados en la unidad administrativa municipal, con menor granularidad.</t>
        </is>
      </c>
      <c r="H32" s="5" t="inlineStr">
        <is>
          <t>Data grouped at the municipal administrative unit, with lower granularity.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—</t>
        </is>
      </c>
      <c r="M32" s="5" t="inlineStr">
        <is>
          <t>Proposto</t>
        </is>
      </c>
      <c r="N32" s="5" t="inlineStr">
        <is>
          <t>Usar quando o setor censitário permitir reidentificação.</t>
        </is>
      </c>
    </row>
    <row r="33">
      <c r="A33" s="4" t="inlineStr">
        <is>
          <t>VC-SF-01</t>
        </is>
      </c>
      <c r="B33" s="4" t="inlineStr">
        <is>
          <t>Status do Fluxo</t>
        </is>
      </c>
      <c r="C33" s="4" t="inlineStr">
        <is>
          <t>Em preparação</t>
        </is>
      </c>
      <c r="D33" s="4" t="inlineStr">
        <is>
          <t>En preparación</t>
        </is>
      </c>
      <c r="E33" s="4" t="inlineStr">
        <is>
          <t>In preparation</t>
        </is>
      </c>
      <c r="F33" s="4" t="inlineStr">
        <is>
          <t>Produto em elaboração; metadados ainda incompletos.</t>
        </is>
      </c>
      <c r="G33" s="4" t="inlineStr">
        <is>
          <t>Producto en elaboración; metadatos aún incompletos.</t>
        </is>
      </c>
      <c r="H33" s="4" t="inlineStr">
        <is>
          <t>Product under development; metadata still incomplete.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Proposto</t>
        </is>
      </c>
      <c r="N33" s="4" t="inlineStr">
        <is>
          <t>Estado inicial de toda linha da ficha.</t>
        </is>
      </c>
    </row>
    <row r="34">
      <c r="A34" s="5" t="inlineStr">
        <is>
          <t>VC-SF-02</t>
        </is>
      </c>
      <c r="B34" s="5" t="inlineStr">
        <is>
          <t>Status do Fluxo</t>
        </is>
      </c>
      <c r="C34" s="5" t="inlineStr">
        <is>
          <t>Metadados completos</t>
        </is>
      </c>
      <c r="D34" s="5" t="inlineStr">
        <is>
          <t>Metadatos completos</t>
        </is>
      </c>
      <c r="E34" s="5" t="inlineStr">
        <is>
          <t>Metadata complete</t>
        </is>
      </c>
      <c r="F34" s="5" t="inlineStr">
        <is>
          <t>Metadados preenchidos e conferidos, aguardando execução do depósito.</t>
        </is>
      </c>
      <c r="G34" s="5" t="inlineStr">
        <is>
          <t>Metadatos completados y verificados, a la espera de la ejecución del depósito.</t>
        </is>
      </c>
      <c r="H34" s="5" t="inlineStr">
        <is>
          <t>Metadata filled and verified, awaiting execution of the deposit.</t>
        </is>
      </c>
      <c r="I34" s="5" t="inlineStr">
        <is>
          <t>—</t>
        </is>
      </c>
      <c r="J34" s="5" t="inlineStr">
        <is>
          <t>—</t>
        </is>
      </c>
      <c r="K34" s="5" t="inlineStr">
        <is>
          <t>—</t>
        </is>
      </c>
      <c r="L34" s="5" t="inlineStr">
        <is>
          <t>—</t>
        </is>
      </c>
      <c r="M34" s="5" t="inlineStr">
        <is>
          <t>Proposto</t>
        </is>
      </c>
      <c r="N34" s="5" t="inlineStr">
        <is>
          <t>Pré-condição para o upload no Zenodo.</t>
        </is>
      </c>
    </row>
    <row r="35">
      <c r="A35" s="4" t="inlineStr">
        <is>
          <t>VC-SF-03</t>
        </is>
      </c>
      <c r="B35" s="4" t="inlineStr">
        <is>
          <t>Status do Fluxo</t>
        </is>
      </c>
      <c r="C35" s="4" t="inlineStr">
        <is>
          <t>Depositado</t>
        </is>
      </c>
      <c r="D35" s="4" t="inlineStr">
        <is>
          <t>Depositado</t>
        </is>
      </c>
      <c r="E35" s="4" t="inlineStr">
        <is>
          <t>Deposited</t>
        </is>
      </c>
      <c r="F35" s="4" t="inlineStr">
        <is>
          <t>Registro criado no repositório e DOI atribuído.</t>
        </is>
      </c>
      <c r="G35" s="4" t="inlineStr">
        <is>
          <t>Registro creado en el repositorio y DOI asignado.</t>
        </is>
      </c>
      <c r="H35" s="4" t="inlineStr">
        <is>
          <t>Record created in the repository and DOI assigned.</t>
        </is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Proposto</t>
        </is>
      </c>
      <c r="N35" s="4" t="inlineStr">
        <is>
          <t>Exige DOI conceito preenchido.</t>
        </is>
      </c>
    </row>
    <row r="36">
      <c r="A36" s="5" t="inlineStr">
        <is>
          <t>VC-SF-04</t>
        </is>
      </c>
      <c r="B36" s="5" t="inlineStr">
        <is>
          <t>Status do Fluxo</t>
        </is>
      </c>
      <c r="C36" s="5" t="inlineStr">
        <is>
          <t>Publicado</t>
        </is>
      </c>
      <c r="D36" s="5" t="inlineStr">
        <is>
          <t>Publicado</t>
        </is>
      </c>
      <c r="E36" s="5" t="inlineStr">
        <is>
          <t>Published</t>
        </is>
      </c>
      <c r="F36" s="5" t="inlineStr">
        <is>
          <t>Registro liberado ao público e vinculado ao ORCID de cada autoria.</t>
        </is>
      </c>
      <c r="G36" s="5" t="inlineStr">
        <is>
          <t>Registro liberado al público y vinculado al ORCID de cada autoría.</t>
        </is>
      </c>
      <c r="H36" s="5" t="inlineStr">
        <is>
          <t>Record released to the public and linked to each author's ORCID.</t>
        </is>
      </c>
      <c r="I36" s="5" t="inlineStr">
        <is>
          <t>—</t>
        </is>
      </c>
      <c r="J36" s="5" t="inlineStr">
        <is>
          <t>—</t>
        </is>
      </c>
      <c r="K36" s="5" t="inlineStr">
        <is>
          <t>—</t>
        </is>
      </c>
      <c r="L36" s="5" t="inlineStr">
        <is>
          <t>—</t>
        </is>
      </c>
      <c r="M36" s="5" t="inlineStr">
        <is>
          <t>Proposto</t>
        </is>
      </c>
      <c r="N36" s="5" t="inlineStr">
        <is>
          <t>Exige DOI de versão preenchido.</t>
        </is>
      </c>
    </row>
    <row r="37">
      <c r="A37" s="4" t="inlineStr">
        <is>
          <t>VC-SF-05</t>
        </is>
      </c>
      <c r="B37" s="4" t="inlineStr">
        <is>
          <t>Status do Fluxo</t>
        </is>
      </c>
      <c r="C37" s="4" t="inlineStr">
        <is>
          <t>Bloqueado</t>
        </is>
      </c>
      <c r="D37" s="4" t="inlineStr">
        <is>
          <t>Bloqueado</t>
        </is>
      </c>
      <c r="E37" s="4" t="inlineStr">
        <is>
          <t>Blocked</t>
        </is>
      </c>
      <c r="F37" s="4" t="inlineStr">
        <is>
          <t>Depósito interrompido por pendência ética, jurídica ou de qualidade de dados.</t>
        </is>
      </c>
      <c r="G37" s="4" t="inlineStr">
        <is>
          <t>Depósito interrumpido por pendiente ética, jurídica o de calidad de datos.</t>
        </is>
      </c>
      <c r="H37" s="4" t="inlineStr">
        <is>
          <t>Deposit halted due to ethical, legal or data quality issues.</t>
        </is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Proposto</t>
        </is>
      </c>
      <c r="N37" s="4" t="inlineStr">
        <is>
          <t>Registrar o motivo no campo de observações.</t>
        </is>
      </c>
    </row>
    <row r="38">
      <c r="A38" s="5" t="inlineStr">
        <is>
          <t>VC-PA-01</t>
        </is>
      </c>
      <c r="B38" s="5" t="inlineStr">
        <is>
          <t>Papel na Autoria</t>
        </is>
      </c>
      <c r="C38" s="5" t="inlineStr">
        <is>
          <t>Concepção</t>
        </is>
      </c>
      <c r="D38" s="5" t="inlineStr">
        <is>
          <t>Concepción</t>
        </is>
      </c>
      <c r="E38" s="5" t="inlineStr">
        <is>
          <t>Conceptualization</t>
        </is>
      </c>
      <c r="F38" s="5" t="inlineStr">
        <is>
          <t>Contribuição à formulação do problema, do desenho metodológico e dos objetivos do produto.</t>
        </is>
      </c>
      <c r="G38" s="5" t="inlineStr">
        <is>
          <t>Contribución a la formulación del problema, del diseño metodológico y de los objetivos del producto.</t>
        </is>
      </c>
      <c r="H38" s="5" t="inlineStr">
        <is>
          <t>Contribution to problem framing, methodological design and product objectives.</t>
        </is>
      </c>
      <c r="I38" s="5" t="inlineStr">
        <is>
          <t>—</t>
        </is>
      </c>
      <c r="J38" s="5" t="inlineStr">
        <is>
          <t>—</t>
        </is>
      </c>
      <c r="K38" s="5" t="inlineStr">
        <is>
          <t>—</t>
        </is>
      </c>
      <c r="L38" s="5" t="inlineStr">
        <is>
          <t>CRediT Taxonomy</t>
        </is>
      </c>
      <c r="M38" s="5" t="inlineStr">
        <is>
          <t>Proposto</t>
        </is>
      </c>
      <c r="N38" s="5" t="inlineStr">
        <is>
          <t>Correspondente a Conceptualization na CRediT.</t>
        </is>
      </c>
    </row>
    <row r="39">
      <c r="A39" s="4" t="inlineStr">
        <is>
          <t>VC-PA-02</t>
        </is>
      </c>
      <c r="B39" s="4" t="inlineStr">
        <is>
          <t>Papel na Autoria</t>
        </is>
      </c>
      <c r="C39" s="4" t="inlineStr">
        <is>
          <t>Dados</t>
        </is>
      </c>
      <c r="D39" s="4" t="inlineStr">
        <is>
          <t>Datos</t>
        </is>
      </c>
      <c r="E39" s="4" t="inlineStr">
        <is>
          <t>Data</t>
        </is>
      </c>
      <c r="F39" s="4" t="inlineStr">
        <is>
          <t>Responsabilidade pela obtenção, curadoria e validação dos dados utilizados.</t>
        </is>
      </c>
      <c r="G39" s="4" t="inlineStr">
        <is>
          <t>Responsabilidad por la obtención, curaduría y validación de los datos utilizados.</t>
        </is>
      </c>
      <c r="H39" s="4" t="inlineStr">
        <is>
          <t>Responsibility for obtaining, curating and validating the data used.</t>
        </is>
      </c>
      <c r="I39" s="4" t="inlineStr">
        <is>
          <t>Curadoria de dados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CRediT Taxonomy</t>
        </is>
      </c>
      <c r="M39" s="4" t="inlineStr">
        <is>
          <t>Proposto</t>
        </is>
      </c>
      <c r="N39" s="4" t="inlineStr">
        <is>
          <t>Correspondente a Data curation na CRediT.</t>
        </is>
      </c>
    </row>
    <row r="40">
      <c r="A40" s="5" t="inlineStr">
        <is>
          <t>VC-PA-03</t>
        </is>
      </c>
      <c r="B40" s="5" t="inlineStr">
        <is>
          <t>Papel na Autoria</t>
        </is>
      </c>
      <c r="C40" s="5" t="inlineStr">
        <is>
          <t>Redação</t>
        </is>
      </c>
      <c r="D40" s="5" t="inlineStr">
        <is>
          <t>Redacción</t>
        </is>
      </c>
      <c r="E40" s="5" t="inlineStr">
        <is>
          <t>Writing</t>
        </is>
      </c>
      <c r="F40" s="5" t="inlineStr">
        <is>
          <t>Redação do texto original do produto.</t>
        </is>
      </c>
      <c r="G40" s="5" t="inlineStr">
        <is>
          <t>Redacción del texto original del producto.</t>
        </is>
      </c>
      <c r="H40" s="5" t="inlineStr">
        <is>
          <t>Drafting of the product's original text.</t>
        </is>
      </c>
      <c r="I40" s="5" t="inlineStr">
        <is>
          <t>—</t>
        </is>
      </c>
      <c r="J40" s="5" t="inlineStr">
        <is>
          <t>—</t>
        </is>
      </c>
      <c r="K40" s="5" t="inlineStr">
        <is>
          <t>—</t>
        </is>
      </c>
      <c r="L40" s="5" t="inlineStr">
        <is>
          <t>CRediT Taxonomy</t>
        </is>
      </c>
      <c r="M40" s="5" t="inlineStr">
        <is>
          <t>Proposto</t>
        </is>
      </c>
      <c r="N40" s="5" t="inlineStr">
        <is>
          <t>Correspondente a Writing – original draft.</t>
        </is>
      </c>
    </row>
    <row r="41">
      <c r="A41" s="4" t="inlineStr">
        <is>
          <t>VC-PA-04</t>
        </is>
      </c>
      <c r="B41" s="4" t="inlineStr">
        <is>
          <t>Papel na Autoria</t>
        </is>
      </c>
      <c r="C41" s="4" t="inlineStr">
        <is>
          <t>Revisão crítica</t>
        </is>
      </c>
      <c r="D41" s="4" t="inlineStr">
        <is>
          <t>Revisión crítica</t>
        </is>
      </c>
      <c r="E41" s="4" t="inlineStr">
        <is>
          <t>Critical review</t>
        </is>
      </c>
      <c r="F41" s="4" t="inlineStr">
        <is>
          <t>Leitura crítica e revisão substantiva do conteúdo antes do depósito.</t>
        </is>
      </c>
      <c r="G41" s="4" t="inlineStr">
        <is>
          <t>Lectura crítica y revisión sustantiva del contenido antes del depósito.</t>
        </is>
      </c>
      <c r="H41" s="4" t="inlineStr">
        <is>
          <t>Critical reading and substantive review of content before deposit.</t>
        </is>
      </c>
      <c r="I41" s="4" t="inlineStr">
        <is>
          <t>Revisão por pares interna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CRediT Taxonomy</t>
        </is>
      </c>
      <c r="M41" s="4" t="inlineStr">
        <is>
          <t>Proposto</t>
        </is>
      </c>
      <c r="N41" s="4" t="inlineStr">
        <is>
          <t>Exige instituição de país distinto da coordenação.</t>
        </is>
      </c>
    </row>
    <row r="42">
      <c r="A42" s="5" t="inlineStr">
        <is>
          <t>VC-PA-05</t>
        </is>
      </c>
      <c r="B42" s="5" t="inlineStr">
        <is>
          <t>Papel na Autoria</t>
        </is>
      </c>
      <c r="C42" s="5" t="inlineStr">
        <is>
          <t>Coordenação</t>
        </is>
      </c>
      <c r="D42" s="5" t="inlineStr">
        <is>
          <t>Coordinación</t>
        </is>
      </c>
      <c r="E42" s="5" t="inlineStr">
        <is>
          <t>Coordination</t>
        </is>
      </c>
      <c r="F42" s="5" t="inlineStr">
        <is>
          <t>Liderança da equipe, articulação institucional e gestão do cronograma do produto.</t>
        </is>
      </c>
      <c r="G42" s="5" t="inlineStr">
        <is>
          <t>Liderazgo del equipo, articulación institucional y gestión del cronograma del producto.</t>
        </is>
      </c>
      <c r="H42" s="5" t="inlineStr">
        <is>
          <t>Team leadership, institutional articulation and product schedule management.</t>
        </is>
      </c>
      <c r="I42" s="5" t="inlineStr">
        <is>
          <t>—</t>
        </is>
      </c>
      <c r="J42" s="5" t="inlineStr">
        <is>
          <t>—</t>
        </is>
      </c>
      <c r="K42" s="5" t="inlineStr">
        <is>
          <t>—</t>
        </is>
      </c>
      <c r="L42" s="5" t="inlineStr">
        <is>
          <t>—</t>
        </is>
      </c>
      <c r="M42" s="5" t="inlineStr">
        <is>
          <t>Proposto</t>
        </is>
      </c>
      <c r="N42" s="5" t="inlineStr">
        <is>
          <t>Papel institucional, não autoral, quando acumulado pela coordenação da Rede.</t>
        </is>
      </c>
    </row>
    <row r="43">
      <c r="A43" s="4" t="inlineStr">
        <is>
          <t>VC-PA-06</t>
        </is>
      </c>
      <c r="B43" s="4" t="inlineStr">
        <is>
          <t>Papel na Autoria</t>
        </is>
      </c>
      <c r="C43" s="4" t="inlineStr">
        <is>
          <t>Análise de dados</t>
        </is>
      </c>
      <c r="D43" s="4" t="inlineStr">
        <is>
          <t>Análisis de datos</t>
        </is>
      </c>
      <c r="E43" s="4" t="inlineStr">
        <is>
          <t>Data analysis</t>
        </is>
      </c>
      <c r="F43" s="4" t="inlineStr">
        <is>
          <t>Aplicação de métodos estatísticos, espaciais ou qualitativos sobre os dados.</t>
        </is>
      </c>
      <c r="G43" s="4" t="inlineStr">
        <is>
          <t>Aplicación de métodos estadísticos, espaciales o cualitativos sobre los datos.</t>
        </is>
      </c>
      <c r="H43" s="4" t="inlineStr">
        <is>
          <t>Application of statistical, spatial or qualitative methods to the data.</t>
        </is>
      </c>
      <c r="I43" s="4" t="inlineStr">
        <is>
          <t>—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CRediT Taxonomy</t>
        </is>
      </c>
      <c r="M43" s="4" t="inlineStr">
        <is>
          <t>Proposto</t>
        </is>
      </c>
      <c r="N43" s="4" t="inlineStr">
        <is>
          <t>Correspondente a Formal analysis.</t>
        </is>
      </c>
    </row>
    <row r="44">
      <c r="A44" s="5" t="inlineStr">
        <is>
          <t>VC-PA-07</t>
        </is>
      </c>
      <c r="B44" s="5" t="inlineStr">
        <is>
          <t>Papel na Autoria</t>
        </is>
      </c>
      <c r="C44" s="5" t="inlineStr">
        <is>
          <t>Trabalho de campo</t>
        </is>
      </c>
      <c r="D44" s="5" t="inlineStr">
        <is>
          <t>Trabajo de campo</t>
        </is>
      </c>
      <c r="E44" s="5" t="inlineStr">
        <is>
          <t>Fieldwork</t>
        </is>
      </c>
      <c r="F44" s="5" t="inlineStr">
        <is>
          <t>Realização de coleta primária, entrevistas, grupos focais ou oficinas em território.</t>
        </is>
      </c>
      <c r="G44" s="5" t="inlineStr">
        <is>
          <t>Realización de recolección primaria, entrevistas, grupos focales u oficinas en territorio.</t>
        </is>
      </c>
      <c r="H44" s="5" t="inlineStr">
        <is>
          <t>Execution of primary collection, interviews, focus groups or workshops in the field.</t>
        </is>
      </c>
      <c r="I44" s="5" t="inlineStr">
        <is>
          <t>Coleta primária</t>
        </is>
      </c>
      <c r="J44" s="5" t="inlineStr">
        <is>
          <t>—</t>
        </is>
      </c>
      <c r="K44" s="5" t="inlineStr">
        <is>
          <t>—</t>
        </is>
      </c>
      <c r="L44" s="5" t="inlineStr">
        <is>
          <t>—</t>
        </is>
      </c>
      <c r="M44" s="5" t="inlineStr">
        <is>
          <t>Proposto</t>
        </is>
      </c>
      <c r="N44" s="5" t="inlineStr">
        <is>
          <t>Declarar parecer CEP/CONEP quando houver seres humanos.</t>
        </is>
      </c>
    </row>
    <row r="45">
      <c r="A45" s="4" t="inlineStr">
        <is>
          <t>VC-DP-01</t>
        </is>
      </c>
      <c r="B45" s="4" t="inlineStr">
        <is>
          <t>Declaração de Dado Pessoal</t>
        </is>
      </c>
      <c r="C45" s="4" t="inlineStr">
        <is>
          <t>Sim</t>
        </is>
      </c>
      <c r="D45" s="4" t="inlineStr">
        <is>
          <t>Sí</t>
        </is>
      </c>
      <c r="E45" s="4" t="inlineStr">
        <is>
          <t>Yes</t>
        </is>
      </c>
      <c r="F45" s="4" t="inlineStr">
        <is>
          <t>O produto foi verificado e não contém dado pessoal identificável, direta ou indiretamente.</t>
        </is>
      </c>
      <c r="G45" s="4" t="inlineStr">
        <is>
          <t>El producto fue verificado y no contiene dato personal identificable, directa o indirectamente.</t>
        </is>
      </c>
      <c r="H45" s="4" t="inlineStr">
        <is>
          <t>The product was verified and contains no directly or indirectly identifiable personal data.</t>
        </is>
      </c>
      <c r="I45" s="4" t="inlineStr">
        <is>
          <t>—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LGPD, art. 5.º, I</t>
        </is>
      </c>
      <c r="M45" s="4" t="inlineStr">
        <is>
          <t>Proposto</t>
        </is>
      </c>
      <c r="N45" s="4" t="inlineStr">
        <is>
          <t>Condição obrigatória para o depósito.</t>
        </is>
      </c>
    </row>
    <row r="46">
      <c r="A46" s="5" t="inlineStr">
        <is>
          <t>VC-DP-02</t>
        </is>
      </c>
      <c r="B46" s="5" t="inlineStr">
        <is>
          <t>Declaração de Dado Pessoal</t>
        </is>
      </c>
      <c r="C46" s="5" t="inlineStr">
        <is>
          <t>Não — revisar antes do depósito</t>
        </is>
      </c>
      <c r="D46" s="5" t="inlineStr">
        <is>
          <t>No — revisar antes del depósito</t>
        </is>
      </c>
      <c r="E46" s="5" t="inlineStr">
        <is>
          <t>No — review before deposit</t>
        </is>
      </c>
      <c r="F46" s="5" t="inlineStr">
        <is>
          <t>Há suspeita ou confirmação de dado pessoal; o produto deve ser revisado antes de qualquer depósito.</t>
        </is>
      </c>
      <c r="G46" s="5" t="inlineStr">
        <is>
          <t>Existe sospecha o confirmación de dato personal; el producto debe revisarse antes de cualquier depósito.</t>
        </is>
      </c>
      <c r="H46" s="5" t="inlineStr">
        <is>
          <t>Personal data is suspected or confirmed; the product must be reviewed before any deposit.</t>
        </is>
      </c>
      <c r="I46" s="5" t="inlineStr">
        <is>
          <t>—</t>
        </is>
      </c>
      <c r="J46" s="5" t="inlineStr">
        <is>
          <t>—</t>
        </is>
      </c>
      <c r="K46" s="5" t="inlineStr">
        <is>
          <t>—</t>
        </is>
      </c>
      <c r="L46" s="5" t="inlineStr">
        <is>
          <t>LGPD, art. 5.º, I</t>
        </is>
      </c>
      <c r="M46" s="5" t="inlineStr">
        <is>
          <t>Proposto</t>
        </is>
      </c>
      <c r="N46" s="5" t="inlineStr">
        <is>
          <t>Bloqueia a conferência automática.</t>
        </is>
      </c>
    </row>
    <row r="47">
      <c r="A47" s="4" t="inlineStr">
        <is>
          <t>VC-DS-01</t>
        </is>
      </c>
      <c r="B47" s="4" t="inlineStr">
        <is>
          <t>Declaração de Dado Sensível</t>
        </is>
      </c>
      <c r="C47" s="4" t="inlineStr">
        <is>
          <t>Não</t>
        </is>
      </c>
      <c r="D47" s="4" t="inlineStr">
        <is>
          <t>No</t>
        </is>
      </c>
      <c r="E47" s="4" t="inlineStr">
        <is>
          <t>No</t>
        </is>
      </c>
      <c r="F47" s="4" t="inlineStr">
        <is>
          <t>O produto não contém dado pessoal sensível.</t>
        </is>
      </c>
      <c r="G47" s="4" t="inlineStr">
        <is>
          <t>El producto no contiene dato personal sensible.</t>
        </is>
      </c>
      <c r="H47" s="4" t="inlineStr">
        <is>
          <t>The product contains no sensitive personal data.</t>
        </is>
      </c>
      <c r="I47" s="4" t="inlineStr">
        <is>
          <t>—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LGPD, art. 5.º, II</t>
        </is>
      </c>
      <c r="M47" s="4" t="inlineStr">
        <is>
          <t>Proposto</t>
        </is>
      </c>
      <c r="N47" s="4" t="inlineStr">
        <is>
          <t>Condição obrigatória para o depósito.</t>
        </is>
      </c>
    </row>
    <row r="48">
      <c r="A48" s="5" t="inlineStr">
        <is>
          <t>VC-DS-02</t>
        </is>
      </c>
      <c r="B48" s="5" t="inlineStr">
        <is>
          <t>Declaração de Dado Sensível</t>
        </is>
      </c>
      <c r="C48" s="5" t="inlineStr">
        <is>
          <t>Sim — vedado o depósito</t>
        </is>
      </c>
      <c r="D48" s="5" t="inlineStr">
        <is>
          <t>Sí — vedado el depósito</t>
        </is>
      </c>
      <c r="E48" s="5" t="inlineStr">
        <is>
          <t>Yes — deposit prohibited</t>
        </is>
      </c>
      <c r="F48" s="5" t="inlineStr">
        <is>
          <t>O produto contém dado sensível e não pode ser depositado nesta forma.</t>
        </is>
      </c>
      <c r="G48" s="5" t="inlineStr">
        <is>
          <t>El producto contiene dato sensible y no puede depositarse en esta forma.</t>
        </is>
      </c>
      <c r="H48" s="5" t="inlineStr">
        <is>
          <t>The product contains sensitive data and cannot be deposited in this form.</t>
        </is>
      </c>
      <c r="I48" s="5" t="inlineStr">
        <is>
          <t>—</t>
        </is>
      </c>
      <c r="J48" s="5" t="inlineStr">
        <is>
          <t>—</t>
        </is>
      </c>
      <c r="K48" s="5" t="inlineStr">
        <is>
          <t>—</t>
        </is>
      </c>
      <c r="L48" s="5" t="inlineStr">
        <is>
          <t>LGPD, art. 5.º, II e art. 11</t>
        </is>
      </c>
      <c r="M48" s="5" t="inlineStr">
        <is>
          <t>Proposto</t>
        </is>
      </c>
      <c r="N48" s="5" t="inlineStr">
        <is>
          <t>Impedimento absoluto; exige nova versão agregada.</t>
        </is>
      </c>
    </row>
    <row r="49">
      <c r="A49" s="4" t="inlineStr">
        <is>
          <t>VC-PC-01</t>
        </is>
      </c>
      <c r="B49" s="4" t="inlineStr">
        <is>
          <t>Palavra-chave Principal</t>
        </is>
      </c>
      <c r="C49" s="4" t="inlineStr">
        <is>
          <t>Interseccionalidade</t>
        </is>
      </c>
      <c r="D49" s="4" t="inlineStr">
        <is>
          <t>Interseccionalidad</t>
        </is>
      </c>
      <c r="E49" s="4" t="inlineStr">
        <is>
          <t>Intersectionality</t>
        </is>
      </c>
      <c r="F49" s="4" t="inlineStr">
        <is>
          <t>Condição em que marcadores sociais — gênero, raça, classe, deficiência e território — se sobrepõem e produzem vulnerabilidades que não se explicam pela soma dos marcadores isolados.</t>
        </is>
      </c>
      <c r="G49" s="4" t="inlineStr">
        <is>
          <t>Condición en que los marcadores sociales —género, raza, clase, discapacidad y territorio— se superponen y producen vulnerabilidades que no se explican por la suma de los marcadores aislados.</t>
        </is>
      </c>
      <c r="H49" s="4" t="inlineStr">
        <is>
          <t>Condition in which social markers — gender, race, class, disability and territory — overlap and produce vulnerabilities that cannot be explained by the sum of isolated markers.</t>
        </is>
      </c>
      <c r="I49" s="4" t="inlineStr">
        <is>
          <t>Interseccional; Cruzamento de opressões</t>
        </is>
      </c>
      <c r="J49" s="4" t="inlineStr">
        <is>
          <t>—</t>
        </is>
      </c>
      <c r="K49" s="4" t="inlineStr">
        <is>
          <t>Racismo ambiental; Gênero e desastres; Vulnerabilidade social</t>
        </is>
      </c>
      <c r="L49" s="4" t="inlineStr">
        <is>
          <t>CRENSHAW (1989); AKOTIRENE (2018)</t>
        </is>
      </c>
      <c r="M49" s="4" t="inlineStr">
        <is>
          <t>Proposto</t>
        </is>
      </c>
      <c r="N49" s="4" t="inlineStr">
        <is>
          <t>Termo-chave da Rede; usar como principal em produtos conceituais.</t>
        </is>
      </c>
    </row>
    <row r="50">
      <c r="A50" s="5" t="inlineStr">
        <is>
          <t>VC-PC-02</t>
        </is>
      </c>
      <c r="B50" s="5" t="inlineStr">
        <is>
          <t>Palavra-chave Principal</t>
        </is>
      </c>
      <c r="C50" s="5" t="inlineStr">
        <is>
          <t>Justiça climática</t>
        </is>
      </c>
      <c r="D50" s="5" t="inlineStr">
        <is>
          <t>Justicia climática</t>
        </is>
      </c>
      <c r="E50" s="5" t="inlineStr">
        <is>
          <t>Climate justice</t>
        </is>
      </c>
      <c r="F50" s="5" t="inlineStr">
        <is>
          <t>Enquadramento que trata as mudanças climáticas como questão de direitos e de distribuição desigual de impactos e responsabilidades, exigindo equidade na proteção e reparação de desigualdades históricas.</t>
        </is>
      </c>
      <c r="G50" s="5" t="inlineStr">
        <is>
          <t>Enfoque que trata el cambio climático como cuestión de derechos y de distribución desigual de impactos y responsabilidades, exigiendo equidad en la protección y reparación de desigualdades históricas.</t>
        </is>
      </c>
      <c r="H50" s="5" t="inlineStr">
        <is>
          <t>Framework treating climate change as a matter of rights and of unequal distribution of impacts and responsibilities, requiring equity in protection and reparation of historical inequalities.</t>
        </is>
      </c>
      <c r="I50" s="5" t="inlineStr">
        <is>
          <t>Justiça socioambiental</t>
        </is>
      </c>
      <c r="J50" s="5" t="inlineStr">
        <is>
          <t>Interseccionalidade</t>
        </is>
      </c>
      <c r="K50" s="5" t="inlineStr">
        <is>
          <t>Racismo ambiental</t>
        </is>
      </c>
      <c r="L50" s="5" t="inlineStr">
        <is>
          <t>UNDRR (2015)</t>
        </is>
      </c>
      <c r="M50" s="5" t="inlineStr">
        <is>
          <t>Proposto</t>
        </is>
      </c>
      <c r="N50" s="5" t="inlineStr">
        <is>
          <t>—</t>
        </is>
      </c>
    </row>
    <row r="51">
      <c r="A51" s="4" t="inlineStr">
        <is>
          <t>VC-PC-03</t>
        </is>
      </c>
      <c r="B51" s="4" t="inlineStr">
        <is>
          <t>Palavra-chave Principal</t>
        </is>
      </c>
      <c r="C51" s="4" t="inlineStr">
        <is>
          <t>Redução de riscos de desastres</t>
        </is>
      </c>
      <c r="D51" s="4" t="inlineStr">
        <is>
          <t>Reducción del riesgo de desastres</t>
        </is>
      </c>
      <c r="E51" s="4" t="inlineStr">
        <is>
          <t>Disaster risk reduction</t>
        </is>
      </c>
      <c r="F51" s="4" t="inlineStr">
        <is>
          <t>Conjunto de políticas e práticas orientadas a evitar a criação de novos riscos, reduzir os riscos existentes e fortalecer a resiliência.</t>
        </is>
      </c>
      <c r="G51" s="4" t="inlineStr">
        <is>
          <t>Conjunto de políticas y prácticas orientadas a evitar la creación de nuevos riesgos, reducir los riesgos existentes y fortalecer la resiliencia.</t>
        </is>
      </c>
      <c r="H51" s="4" t="inlineStr">
        <is>
          <t>Set of policies and practices aimed at avoiding new risk creation, reducing existing risk and strengthening resilience.</t>
        </is>
      </c>
      <c r="I51" s="4" t="inlineStr">
        <is>
          <t>RRD; Gestão de riscos de desastres; GRD</t>
        </is>
      </c>
      <c r="J51" s="4" t="inlineStr">
        <is>
          <t>—</t>
        </is>
      </c>
      <c r="K51" s="4" t="inlineStr">
        <is>
          <t>Vulnerabilidade social; Comunicação de risco</t>
        </is>
      </c>
      <c r="L51" s="4" t="inlineStr">
        <is>
          <t>UNDRR (2015)</t>
        </is>
      </c>
      <c r="M51" s="4" t="inlineStr">
        <is>
          <t>Proposto</t>
        </is>
      </c>
      <c r="N51" s="4" t="inlineStr">
        <is>
          <t>Sigla oficial em espanhol: RRD.</t>
        </is>
      </c>
    </row>
    <row r="52">
      <c r="A52" s="5" t="inlineStr">
        <is>
          <t>VC-PC-04</t>
        </is>
      </c>
      <c r="B52" s="5" t="inlineStr">
        <is>
          <t>Palavra-chave Principal</t>
        </is>
      </c>
      <c r="C52" s="5" t="inlineStr">
        <is>
          <t>Gênero e desastres</t>
        </is>
      </c>
      <c r="D52" s="5" t="inlineStr">
        <is>
          <t>Género y desastres</t>
        </is>
      </c>
      <c r="E52" s="5" t="inlineStr">
        <is>
          <t>Gender and disasters</t>
        </is>
      </c>
      <c r="F52" s="5" t="inlineStr">
        <is>
          <t>Campo que analisa como normas de gênero moldam exposição, impacto e capacidade de recuperação diante de eventos extremos, incluindo violências e sobrecargas pós-evento.</t>
        </is>
      </c>
      <c r="G52" s="5" t="inlineStr">
        <is>
          <t>Campo que analiza cómo las normas de género moldean la exposición, el impacto y la capacidad de recuperación ante eventos extremos, incluidas violencias y sobrecargas posevento.</t>
        </is>
      </c>
      <c r="H52" s="5" t="inlineStr">
        <is>
          <t>Field analysing how gender norms shape exposure, impact and recovery capacity in extreme events, including post-event violence and care burdens.</t>
        </is>
      </c>
      <c r="I52" s="5" t="inlineStr">
        <is>
          <t>Desastres e gênero</t>
        </is>
      </c>
      <c r="J52" s="5" t="inlineStr">
        <is>
          <t>Redução de riscos de desastres</t>
        </is>
      </c>
      <c r="K52" s="5" t="inlineStr">
        <is>
          <t>Interseccionalidade</t>
        </is>
      </c>
      <c r="L52" s="5" t="inlineStr">
        <is>
          <t>ENARSON (2012); CEDAW Rec. 37 (2018)</t>
        </is>
      </c>
      <c r="M52" s="5" t="inlineStr">
        <is>
          <t>Proposto</t>
        </is>
      </c>
      <c r="N52" s="5" t="inlineStr">
        <is>
          <t>—</t>
        </is>
      </c>
    </row>
    <row r="53">
      <c r="A53" s="4" t="inlineStr">
        <is>
          <t>VC-PC-05</t>
        </is>
      </c>
      <c r="B53" s="4" t="inlineStr">
        <is>
          <t>Palavra-chave Principal</t>
        </is>
      </c>
      <c r="C53" s="4" t="inlineStr">
        <is>
          <t>Racismo ambiental</t>
        </is>
      </c>
      <c r="D53" s="4" t="inlineStr">
        <is>
          <t>Racismo ambiental</t>
        </is>
      </c>
      <c r="E53" s="4" t="inlineStr">
        <is>
          <t>Environmental racism</t>
        </is>
      </c>
      <c r="F53" s="4" t="inlineStr">
        <is>
          <t>Padrão de segregação socioespacial que destina populações racializadas a territórios de maior exposição a perigos e menor infraestrutura, produzindo zonas de sacrifício.</t>
        </is>
      </c>
      <c r="G53" s="4" t="inlineStr">
        <is>
          <t>Patrón de segregación socioespacial que destina poblaciones racializadas a territorios de mayor exposición a peligros y menor infraestructura, produciendo zonas de sacrificio.</t>
        </is>
      </c>
      <c r="H53" s="4" t="inlineStr">
        <is>
          <t>Pattern of socio-spatial segregation assigning racialized populations to areas of higher hazard exposure and lower infrastructure, producing sacrifice zones.</t>
        </is>
      </c>
      <c r="I53" s="4" t="inlineStr">
        <is>
          <t>Injustiça ambiental; Zonas de sacrifício</t>
        </is>
      </c>
      <c r="J53" s="4" t="inlineStr">
        <is>
          <t>Justiça climática</t>
        </is>
      </c>
      <c r="K53" s="4" t="inlineStr">
        <is>
          <t>Interseccionalidade</t>
        </is>
      </c>
      <c r="L53" s="4" t="inlineStr">
        <is>
          <t>HERCULANO (2008); BULLARD (1990)</t>
        </is>
      </c>
      <c r="M53" s="4" t="inlineStr">
        <is>
          <t>Proposto</t>
        </is>
      </c>
      <c r="N53" s="4" t="inlineStr">
        <is>
          <t>—</t>
        </is>
      </c>
    </row>
    <row r="54">
      <c r="A54" s="5" t="inlineStr">
        <is>
          <t>VC-PC-06</t>
        </is>
      </c>
      <c r="B54" s="5" t="inlineStr">
        <is>
          <t>Palavra-chave Principal</t>
        </is>
      </c>
      <c r="C54" s="5" t="inlineStr">
        <is>
          <t>Vulnerabilidade social</t>
        </is>
      </c>
      <c r="D54" s="5" t="inlineStr">
        <is>
          <t>Vulnerabilidad social</t>
        </is>
      </c>
      <c r="E54" s="5" t="inlineStr">
        <is>
          <t>Social vulnerability</t>
        </is>
      </c>
      <c r="F54" s="5" t="inlineStr">
        <is>
          <t>Conjunto de condições sociais, econômicas e institucionais que determinam a capacidade diferenciada de pessoas e grupos de se preparar, responder e se recuperar de um evento perigoso.</t>
        </is>
      </c>
      <c r="G54" s="5" t="inlineStr">
        <is>
          <t>Conjunto de condiciones sociales, económicas e institucionales que determinan la capacidad diferenciada de personas y grupos para prepararse, responder y recuperarse de un evento peligroso.</t>
        </is>
      </c>
      <c r="H54" s="5" t="inlineStr">
        <is>
          <t>Set of social, economic and institutional conditions determining the differentiated capacity of people and groups to prepare for, respond to and recover from a hazardous event.</t>
        </is>
      </c>
      <c r="I54" s="5" t="inlineStr">
        <is>
          <t>—</t>
        </is>
      </c>
      <c r="J54" s="5" t="inlineStr">
        <is>
          <t>Redução de riscos de desastres</t>
        </is>
      </c>
      <c r="K54" s="5" t="inlineStr">
        <is>
          <t>SoVI-I ALC; Interseccionalidade</t>
        </is>
      </c>
      <c r="L54" s="5" t="inlineStr">
        <is>
          <t>CUTTER; BORUFF; SHIRLEY (2003)</t>
        </is>
      </c>
      <c r="M54" s="5" t="inlineStr">
        <is>
          <t>Proposto</t>
        </is>
      </c>
      <c r="N54" s="5" t="inlineStr">
        <is>
          <t>—</t>
        </is>
      </c>
    </row>
    <row r="55">
      <c r="A55" s="4" t="inlineStr">
        <is>
          <t>VC-PC-07</t>
        </is>
      </c>
      <c r="B55" s="4" t="inlineStr">
        <is>
          <t>Palavra-chave Principal</t>
        </is>
      </c>
      <c r="C55" s="4" t="inlineStr">
        <is>
          <t>Impact-based forecasting</t>
        </is>
      </c>
      <c r="D55" s="4" t="inlineStr">
        <is>
          <t>Pronóstico basado en impactos</t>
        </is>
      </c>
      <c r="E55" s="4" t="inlineStr">
        <is>
          <t>Impact-based forecasting</t>
        </is>
      </c>
      <c r="F55" s="4" t="inlineStr">
        <is>
          <t>Abordagem de previsão que descreve o que o tempo causará, e não apenas o que ocorrerá fisicamente, integrando variáveis socioeconômicas à modelagem do risco.</t>
        </is>
      </c>
      <c r="G55" s="4" t="inlineStr">
        <is>
          <t>Enfoque de pronóstico que describe lo que el tiempo causará, y no solo lo que ocurrirá físicamente, integrando variables socioeconômicas a la modelación del riesgo.</t>
        </is>
      </c>
      <c r="H55" s="4" t="inlineStr">
        <is>
          <t>Forecasting approach describing what the weather will do rather than only what will occur physically, integrating socioeconomic variables into risk modelling.</t>
        </is>
      </c>
      <c r="I55" s="4" t="inlineStr">
        <is>
          <t>IbF; Previsão baseada em impactos</t>
        </is>
      </c>
      <c r="J55" s="4" t="inlineStr">
        <is>
          <t>Redução de riscos de desastres</t>
        </is>
      </c>
      <c r="K55" s="4" t="inlineStr">
        <is>
          <t>Comunicação de risco</t>
        </is>
      </c>
      <c r="L55" s="4" t="inlineStr">
        <is>
          <t>WMO (2020)</t>
        </is>
      </c>
      <c r="M55" s="4" t="inlineStr">
        <is>
          <t>Proposto</t>
        </is>
      </c>
      <c r="N55" s="4" t="inlineStr">
        <is>
          <t>Manter a sigla IbF em todos os idiomas.</t>
        </is>
      </c>
    </row>
    <row r="56">
      <c r="A56" s="5" t="inlineStr">
        <is>
          <t>VC-PC-08</t>
        </is>
      </c>
      <c r="B56" s="5" t="inlineStr">
        <is>
          <t>Palavra-chave Principal</t>
        </is>
      </c>
      <c r="C56" s="5" t="inlineStr">
        <is>
          <t>Protocolos decoloniais</t>
        </is>
      </c>
      <c r="D56" s="5" t="inlineStr">
        <is>
          <t>Protocolos decoloniales</t>
        </is>
      </c>
      <c r="E56" s="5" t="inlineStr">
        <is>
          <t>Decolonial protocols</t>
        </is>
      </c>
      <c r="F56" s="5" t="inlineStr">
        <is>
          <t>Conjunto de procedimentos técnicos e comunicacionais construídos com as comunidades afetadas, que reconhece saberes não acadêmicos e rompe com a transferência unilateral de conhecimento.</t>
        </is>
      </c>
      <c r="G56" s="5" t="inlineStr">
        <is>
          <t>Conjunto de procedimientos técnicos y comunicacionales construidos con las comunidades afectadas, que reconoce saberes no académicos y rompe con la transferencia unilateral de conocimiento.</t>
        </is>
      </c>
      <c r="H56" s="5" t="inlineStr">
        <is>
          <t>Set of technical and communicational procedures built with affected communities, recognizing non-academic knowledge and breaking with one-way knowledge transfer.</t>
        </is>
      </c>
      <c r="I56" s="5" t="inlineStr">
        <is>
          <t>Protocolos humanizados</t>
        </is>
      </c>
      <c r="J56" s="5" t="inlineStr">
        <is>
          <t>—</t>
        </is>
      </c>
      <c r="K56" s="5" t="inlineStr">
        <is>
          <t>Povos indígenas</t>
        </is>
      </c>
      <c r="L56" s="5" t="inlineStr">
        <is>
          <t>MIGNOLO; WALSH (2018); HARAWAY (1988)</t>
        </is>
      </c>
      <c r="M56" s="5" t="inlineStr">
        <is>
          <t>Proposto</t>
        </is>
      </c>
      <c r="N56" s="5" t="inlineStr">
        <is>
          <t>—</t>
        </is>
      </c>
    </row>
    <row r="57">
      <c r="A57" s="4" t="inlineStr">
        <is>
          <t>VC-PC-09</t>
        </is>
      </c>
      <c r="B57" s="4" t="inlineStr">
        <is>
          <t>Palavra-chave Principal</t>
        </is>
      </c>
      <c r="C57" s="4" t="inlineStr">
        <is>
          <t>SoVI-I ALC</t>
        </is>
      </c>
      <c r="D57" s="4" t="inlineStr">
        <is>
          <t>SoVI-I ALC</t>
        </is>
      </c>
      <c r="E57" s="4" t="inlineStr">
        <is>
          <t>SoVI-I LAC</t>
        </is>
      </c>
      <c r="F57" s="4" t="inlineStr">
        <is>
          <t>Índice de Vulnerabilidade Socioeconômica Interseccional da América Latina e Caribe: modelo calibrado por análise de componentes principais e lógica fuzzy, com pesos explícitos para racismo ambiental e chefia monoparental racializada.</t>
        </is>
      </c>
      <c r="G57" s="4" t="inlineStr">
        <is>
          <t>Índice de Vulnerabilidad Socioeconómica Interseccional de América Latina y el Caribe: modelo calibrado por análisis de componentes principales y lógica difusa, con pesos explícitos para racismo ambiental y jefatura monoparental racializada.</t>
        </is>
      </c>
      <c r="H57" s="4" t="inlineStr">
        <is>
          <t>Intersectional Socioeconomic Vulnerability Index for Latin America and the Caribbean: a model calibrated by principal component analysis and fuzzy logic, with explicit weights for environmental racism and racialized single-parent headship.</t>
        </is>
      </c>
      <c r="I57" s="4" t="inlineStr">
        <is>
          <t>Índice de Vulnerabilidade Socioeconômica Interseccional</t>
        </is>
      </c>
      <c r="J57" s="4" t="inlineStr">
        <is>
          <t>Vulnerabilidade social</t>
        </is>
      </c>
      <c r="K57" s="4" t="inlineStr">
        <is>
          <t>—</t>
        </is>
      </c>
      <c r="L57" s="4" t="inlineStr">
        <is>
          <t>CUTTER; BORUFF; SHIRLEY (2003) — adaptação</t>
        </is>
      </c>
      <c r="M57" s="4" t="inlineStr">
        <is>
          <t>Proposto</t>
        </is>
      </c>
      <c r="N57" s="4" t="inlineStr">
        <is>
          <t>Sigla idêntica em PT e ES; em inglês, LAC substitui ALC.</t>
        </is>
      </c>
    </row>
    <row r="58">
      <c r="A58" s="5" t="inlineStr">
        <is>
          <t>VC-PC-10</t>
        </is>
      </c>
      <c r="B58" s="5" t="inlineStr">
        <is>
          <t>Palavra-chave Principal</t>
        </is>
      </c>
      <c r="C58" s="5" t="inlineStr">
        <is>
          <t>BATER-ALC</t>
        </is>
      </c>
      <c r="D58" s="5" t="inlineStr">
        <is>
          <t>BATER-ALC</t>
        </is>
      </c>
      <c r="E58" s="5" t="inlineStr">
        <is>
          <t>BATER-LAC</t>
        </is>
      </c>
      <c r="F58" s="5" t="inlineStr">
        <is>
          <t>Base Territorial Estatística de Áreas de Risco da América Latina e Caribe: base geoespacial harmonizada que integra microdados censitários oficiais em escala de setor censitário.</t>
        </is>
      </c>
      <c r="G58" s="5" t="inlineStr">
        <is>
          <t>Base Territorial Estadística de Áreas de Riesgo de América Latina y el Caribe: base geoespacial armonizada que integra microdatos censales oficiales a escala de sector censal.</t>
        </is>
      </c>
      <c r="H58" s="5" t="inlineStr">
        <is>
          <t>Statistical Territorial Base of Risk Areas for Latin America and the Caribbean: harmonized geospatial base integrating official census microdata at census tract scale.</t>
        </is>
      </c>
      <c r="I58" s="5" t="inlineStr">
        <is>
          <t>Base BATER</t>
        </is>
      </c>
      <c r="J58" s="5" t="inlineStr">
        <is>
          <t>Dados censitários</t>
        </is>
      </c>
      <c r="K58" s="5" t="inlineStr">
        <is>
          <t>SoVI-I ALC</t>
        </is>
      </c>
      <c r="L58" s="5" t="inlineStr">
        <is>
          <t>ALVALÁ et al. (2019); IBGE (2023)</t>
        </is>
      </c>
      <c r="M58" s="5" t="inlineStr">
        <is>
          <t>Proposto</t>
        </is>
      </c>
      <c r="N58" s="5" t="inlineStr">
        <is>
          <t>Sigla idêntica em PT e ES; em inglês, LAC substitui ALC.</t>
        </is>
      </c>
    </row>
    <row r="59">
      <c r="A59" s="4" t="inlineStr">
        <is>
          <t>VC-PC-11</t>
        </is>
      </c>
      <c r="B59" s="4" t="inlineStr">
        <is>
          <t>Palavra-chave Principal</t>
        </is>
      </c>
      <c r="C59" s="4" t="inlineStr">
        <is>
          <t>Índice de Inclusão Interseccional</t>
        </is>
      </c>
      <c r="D59" s="4" t="inlineStr">
        <is>
          <t>Índice de Inclusión Interseccional</t>
        </is>
      </c>
      <c r="E59" s="4" t="inlineStr">
        <is>
          <t>Intersectional Inclusion Index</t>
        </is>
      </c>
      <c r="F59" s="4" t="inlineStr">
        <is>
          <t>Métrica de maturidade institucional que avalia políticas de redução de riscos em quatro dimensões ponderadas: representatividade normativa, orçamento e recursos, participação decisória e dados e monitoramento.</t>
        </is>
      </c>
      <c r="G59" s="4" t="inlineStr">
        <is>
          <t>Métrica de madurez institucional que evalúa políticas de reducción de riesgos en cuatro dimensiones ponderadas: representatividad normativa, presupuesto y recursos, participación decisoria y datos y monitoreo.</t>
        </is>
      </c>
      <c r="H59" s="4" t="inlineStr">
        <is>
          <t>Institutional maturity metric assessing risk reduction policies across four weighted dimensions: normative representation, budget and resources, decision-making participation, and data and monitoring.</t>
        </is>
      </c>
      <c r="I59" s="4" t="inlineStr">
        <is>
          <t>III</t>
        </is>
      </c>
      <c r="J59" s="4" t="inlineStr">
        <is>
          <t>Redução de riscos de desastres</t>
        </is>
      </c>
      <c r="K59" s="4" t="inlineStr">
        <is>
          <t>—</t>
        </is>
      </c>
      <c r="L59" s="4" t="inlineStr">
        <is>
          <t>AKOTIRENE (2018); UNDRR (2024)</t>
        </is>
      </c>
      <c r="M59" s="4" t="inlineStr">
        <is>
          <t>Proposto</t>
        </is>
      </c>
      <c r="N59" s="4" t="inlineStr">
        <is>
          <t>Grafar "Índice III" na primeira menção e "III" depois.</t>
        </is>
      </c>
    </row>
    <row r="60">
      <c r="A60" s="5" t="inlineStr">
        <is>
          <t>VC-PC-12</t>
        </is>
      </c>
      <c r="B60" s="5" t="inlineStr">
        <is>
          <t>Palavra-chave Principal</t>
        </is>
      </c>
      <c r="C60" s="5" t="inlineStr">
        <is>
          <t>Dados censitários</t>
        </is>
      </c>
      <c r="D60" s="5" t="inlineStr">
        <is>
          <t>Datos censales</t>
        </is>
      </c>
      <c r="E60" s="5" t="inlineStr">
        <is>
          <t>Census data</t>
        </is>
      </c>
      <c r="F60" s="5" t="inlineStr">
        <is>
          <t>Microdados de censo demográfico oficial, utilizados em escala de setor censitário para desagregar população por raça, gênero, idade e condição habitacional.</t>
        </is>
      </c>
      <c r="G60" s="5" t="inlineStr">
        <is>
          <t>Microdatos de censo demográfico oficial, utilizados a escala de sector censal para desagregar población por raza, género, edad y condición habitacional.</t>
        </is>
      </c>
      <c r="H60" s="5" t="inlineStr">
        <is>
          <t>Microdata from official demographic censuses, used at census tract scale to disaggregate population by race, gender, age and housing conditions.</t>
        </is>
      </c>
      <c r="I60" s="5" t="inlineStr">
        <is>
          <t>Microdados censitários</t>
        </is>
      </c>
      <c r="J60" s="5" t="inlineStr">
        <is>
          <t>—</t>
        </is>
      </c>
      <c r="K60" s="5" t="inlineStr">
        <is>
          <t>BATER-ALC</t>
        </is>
      </c>
      <c r="L60" s="5" t="inlineStr">
        <is>
          <t>IBGE (2023); INEC; INEI</t>
        </is>
      </c>
      <c r="M60" s="5" t="inlineStr">
        <is>
          <t>Proposto</t>
        </is>
      </c>
      <c r="N60" s="5" t="inlineStr">
        <is>
          <t>Declarar a técnica de agregação sempre que derivar conjunto de dados.</t>
        </is>
      </c>
    </row>
    <row r="61">
      <c r="A61" s="4" t="inlineStr">
        <is>
          <t>VC-PC-13</t>
        </is>
      </c>
      <c r="B61" s="4" t="inlineStr">
        <is>
          <t>Palavra-chave Principal</t>
        </is>
      </c>
      <c r="C61" s="4" t="inlineStr">
        <is>
          <t>Povos indígenas</t>
        </is>
      </c>
      <c r="D61" s="4" t="inlineStr">
        <is>
          <t>Pueblos indígenas</t>
        </is>
      </c>
      <c r="E61" s="4" t="inlineStr">
        <is>
          <t>Indigenous peoples</t>
        </is>
      </c>
      <c r="F61" s="4" t="inlineStr">
        <is>
          <t>Coletivos originários que detêm conhecimentos territoriais próprios e cuja proteção requer protocolos específicos de consulta, consentimento e comunicação em língua originária.</t>
        </is>
      </c>
      <c r="G61" s="4" t="inlineStr">
        <is>
          <t>Colectivos originarios que poseen conocimientos territoriales propios y cuya protección requiere protocolos específicos de consulta, consentimiento y comunicación en lengua originaria.</t>
        </is>
      </c>
      <c r="H61" s="4" t="inlineStr">
        <is>
          <t>Original peoples holding their own territorial knowledge, whose protection requires specific protocols for consultation, consent and communication in Indigenous languages.</t>
        </is>
      </c>
      <c r="I61" s="4" t="inlineStr">
        <is>
          <t>Comunidades originárias; Povos originários</t>
        </is>
      </c>
      <c r="J61" s="4" t="inlineStr">
        <is>
          <t>—</t>
        </is>
      </c>
      <c r="K61" s="4" t="inlineStr">
        <is>
          <t>Protocolos decoloniais</t>
        </is>
      </c>
      <c r="L61" s="4" t="inlineStr">
        <is>
          <t>ILO Convention 169</t>
        </is>
      </c>
      <c r="M61" s="4" t="inlineStr">
        <is>
          <t>Proposto</t>
        </is>
      </c>
      <c r="N61" s="4" t="inlineStr">
        <is>
          <t>Evitar "índios" e "aborígenes" na indexação.</t>
        </is>
      </c>
    </row>
    <row r="62">
      <c r="A62" s="5" t="inlineStr">
        <is>
          <t>VC-PC-14</t>
        </is>
      </c>
      <c r="B62" s="5" t="inlineStr">
        <is>
          <t>Palavra-chave Principal</t>
        </is>
      </c>
      <c r="C62" s="5" t="inlineStr">
        <is>
          <t>Segurança hídrica</t>
        </is>
      </c>
      <c r="D62" s="5" t="inlineStr">
        <is>
          <t>Seguridad hídrica</t>
        </is>
      </c>
      <c r="E62" s="5" t="inlineStr">
        <is>
          <t>Water security</t>
        </is>
      </c>
      <c r="F62" s="5" t="inlineStr">
        <is>
          <t>Capacidade de uma população de garantir acesso sustentável a água em quantidade e qualidade suficientes, considerando extremos hidrológicos e condições de saneamento.</t>
        </is>
      </c>
      <c r="G62" s="5" t="inlineStr">
        <is>
          <t>Capacidad de una población para garantizar acceso sostenible al agua en cantidad y calidad suficientes, considerando extremos hidrológicos y condiciones de saneamiento.</t>
        </is>
      </c>
      <c r="H62" s="5" t="inlineStr">
        <is>
          <t>Capacity of a population to ensure sustainable access to water in sufficient quantity and quality, considering hydrological extremes and sanitation conditions.</t>
        </is>
      </c>
      <c r="I62" s="5" t="inlineStr">
        <is>
          <t>—</t>
        </is>
      </c>
      <c r="J62" s="5" t="inlineStr">
        <is>
          <t>Redução de riscos de desastres</t>
        </is>
      </c>
      <c r="K62" s="5" t="inlineStr">
        <is>
          <t>Vulnerabilidade social</t>
        </is>
      </c>
      <c r="L62" s="5" t="inlineStr">
        <is>
          <t>—</t>
        </is>
      </c>
      <c r="M62" s="5" t="inlineStr">
        <is>
          <t>Proposto</t>
        </is>
      </c>
      <c r="N62" s="5" t="inlineStr">
        <is>
          <t>—</t>
        </is>
      </c>
    </row>
    <row r="63">
      <c r="A63" s="4" t="inlineStr">
        <is>
          <t>VC-PC-15</t>
        </is>
      </c>
      <c r="B63" s="4" t="inlineStr">
        <is>
          <t>Palavra-chave Principal</t>
        </is>
      </c>
      <c r="C63" s="4" t="inlineStr">
        <is>
          <t>Saúde pública e clima</t>
        </is>
      </c>
      <c r="D63" s="4" t="inlineStr">
        <is>
          <t>Salud pública y clima</t>
        </is>
      </c>
      <c r="E63" s="4" t="inlineStr">
        <is>
          <t>Public health and climate</t>
        </is>
      </c>
      <c r="F63" s="4" t="inlineStr">
        <is>
          <t>Campo que relaciona eventos hidrometeorológicos extremos a desfechos de saúde coletiva, incluindo morbidade hídrica, doenças vetoriais e saúde mental pós-desastre.</t>
        </is>
      </c>
      <c r="G63" s="4" t="inlineStr">
        <is>
          <t>Campo que relaciona eventos hidrometeorológicos extremos con desenlaces de salud colectiva, incluidos morbilidad hídrica, enfermedades vectoriales y salud mental posdesastre.</t>
        </is>
      </c>
      <c r="H63" s="4" t="inlineStr">
        <is>
          <t>Field linking extreme hydrometeorological events to collective health outcomes, including waterborne morbidity, vector-borne diseases and post-disaster mental health.</t>
        </is>
      </c>
      <c r="I63" s="4" t="inlineStr">
        <is>
          <t>Clima e saúde</t>
        </is>
      </c>
      <c r="J63" s="4" t="inlineStr">
        <is>
          <t>Vulnerabilidade social</t>
        </is>
      </c>
      <c r="K63" s="4" t="inlineStr">
        <is>
          <t>—</t>
        </is>
      </c>
      <c r="L63" s="4" t="inlineStr">
        <is>
          <t>—</t>
        </is>
      </c>
      <c r="M63" s="4" t="inlineStr">
        <is>
          <t>Proposto</t>
        </is>
      </c>
      <c r="N63" s="4" t="inlineStr">
        <is>
          <t>—</t>
        </is>
      </c>
    </row>
    <row r="64">
      <c r="A64" s="5" t="inlineStr">
        <is>
          <t>VC-PC-16</t>
        </is>
      </c>
      <c r="B64" s="5" t="inlineStr">
        <is>
          <t>Palavra-chave Principal</t>
        </is>
      </c>
      <c r="C64" s="5" t="inlineStr">
        <is>
          <t>Comunicação de risco</t>
        </is>
      </c>
      <c r="D64" s="5" t="inlineStr">
        <is>
          <t>Comunicación de riesgo</t>
        </is>
      </c>
      <c r="E64" s="5" t="inlineStr">
        <is>
          <t>Risk communication</t>
        </is>
      </c>
      <c r="F64" s="5" t="inlineStr">
        <is>
          <t>Processo de tradução de informação técnica de risco em mensagens compreensíveis e acionáveis, sensível a gênero, raça, língua e deficiência.</t>
        </is>
      </c>
      <c r="G64" s="5" t="inlineStr">
        <is>
          <t>Proceso de traducción de información técnica de riesgo en mensajes comprensibles y accionables, sensible a género, raza, lengua y discapacidad.</t>
        </is>
      </c>
      <c r="H64" s="5" t="inlineStr">
        <is>
          <t>Process of translating technical risk information into comprehensible and actionable messages, sensitive to gender, race, language and disability.</t>
        </is>
      </c>
      <c r="I64" s="5" t="inlineStr">
        <is>
          <t>Alerta humanizado</t>
        </is>
      </c>
      <c r="J64" s="5" t="inlineStr">
        <is>
          <t>Impact-based forecasting</t>
        </is>
      </c>
      <c r="K64" s="5" t="inlineStr">
        <is>
          <t>Protocolos decoloniais</t>
        </is>
      </c>
      <c r="L64" s="5" t="inlineStr">
        <is>
          <t>WMO (2020)</t>
        </is>
      </c>
      <c r="M64" s="5" t="inlineStr">
        <is>
          <t>Proposto</t>
        </is>
      </c>
      <c r="N64" s="5" t="inlineStr">
        <is>
          <t>—</t>
        </is>
      </c>
    </row>
    <row r="65">
      <c r="A65" s="4" t="inlineStr">
        <is>
          <t>VC-PS-01</t>
        </is>
      </c>
      <c r="B65" s="4" t="inlineStr">
        <is>
          <t>País</t>
        </is>
      </c>
      <c r="C65" s="4" t="inlineStr">
        <is>
          <t>Brasil</t>
        </is>
      </c>
      <c r="D65" s="4" t="inlineStr">
        <is>
          <t>Brasil</t>
        </is>
      </c>
      <c r="E65" s="4" t="inlineStr">
        <is>
          <t>Brazil</t>
        </is>
      </c>
      <c r="F65" s="4" t="inlineStr">
        <is>
          <t>República Federativa do Brasil, país-sede da Rede.</t>
        </is>
      </c>
      <c r="G65" s="4" t="inlineStr">
        <is>
          <t>República Federativa de Brasil, país sede de la Red.</t>
        </is>
      </c>
      <c r="H65" s="4" t="inlineStr">
        <is>
          <t>Federative Republic of Brazil, host country of the Network.</t>
        </is>
      </c>
      <c r="I65" s="4" t="inlineStr">
        <is>
          <t>BR</t>
        </is>
      </c>
      <c r="J65" s="4" t="inlineStr">
        <is>
          <t>—</t>
        </is>
      </c>
      <c r="K65" s="4" t="inlineStr">
        <is>
          <t>—</t>
        </is>
      </c>
      <c r="L65" s="4" t="inlineStr">
        <is>
          <t>ISO 3166-1: BR</t>
        </is>
      </c>
      <c r="M65" s="4" t="inlineStr">
        <is>
          <t>Proposto</t>
        </is>
      </c>
      <c r="N65" s="4" t="inlineStr">
        <is>
          <t>—</t>
        </is>
      </c>
    </row>
    <row r="66">
      <c r="A66" s="5" t="inlineStr">
        <is>
          <t>VC-PS-02</t>
        </is>
      </c>
      <c r="B66" s="5" t="inlineStr">
        <is>
          <t>País</t>
        </is>
      </c>
      <c r="C66" s="5" t="inlineStr">
        <is>
          <t>Argentina</t>
        </is>
      </c>
      <c r="D66" s="5" t="inlineStr">
        <is>
          <t>Argentina</t>
        </is>
      </c>
      <c r="E66" s="5" t="inlineStr">
        <is>
          <t>Argentina</t>
        </is>
      </c>
      <c r="F66" s="5" t="inlineStr">
        <is>
          <t>República Argentina.</t>
        </is>
      </c>
      <c r="G66" s="5" t="inlineStr">
        <is>
          <t>República Argentina.</t>
        </is>
      </c>
      <c r="H66" s="5" t="inlineStr">
        <is>
          <t>Argentine Republic.</t>
        </is>
      </c>
      <c r="I66" s="5" t="inlineStr">
        <is>
          <t>AR</t>
        </is>
      </c>
      <c r="J66" s="5" t="inlineStr">
        <is>
          <t>—</t>
        </is>
      </c>
      <c r="K66" s="5" t="inlineStr">
        <is>
          <t>—</t>
        </is>
      </c>
      <c r="L66" s="5" t="inlineStr">
        <is>
          <t>ISO 3166-1: AR</t>
        </is>
      </c>
      <c r="M66" s="5" t="inlineStr">
        <is>
          <t>Proposto</t>
        </is>
      </c>
      <c r="N66" s="5" t="inlineStr">
        <is>
          <t>—</t>
        </is>
      </c>
    </row>
    <row r="67">
      <c r="A67" s="4" t="inlineStr">
        <is>
          <t>VC-PS-03</t>
        </is>
      </c>
      <c r="B67" s="4" t="inlineStr">
        <is>
          <t>País</t>
        </is>
      </c>
      <c r="C67" s="4" t="inlineStr">
        <is>
          <t>Chile</t>
        </is>
      </c>
      <c r="D67" s="4" t="inlineStr">
        <is>
          <t>Chile</t>
        </is>
      </c>
      <c r="E67" s="4" t="inlineStr">
        <is>
          <t>Chile</t>
        </is>
      </c>
      <c r="F67" s="4" t="inlineStr">
        <is>
          <t>República do Chile.</t>
        </is>
      </c>
      <c r="G67" s="4" t="inlineStr">
        <is>
          <t>República de Chile.</t>
        </is>
      </c>
      <c r="H67" s="4" t="inlineStr">
        <is>
          <t>Republic of Chile.</t>
        </is>
      </c>
      <c r="I67" s="4" t="inlineStr">
        <is>
          <t>CL</t>
        </is>
      </c>
      <c r="J67" s="4" t="inlineStr">
        <is>
          <t>—</t>
        </is>
      </c>
      <c r="K67" s="4" t="inlineStr">
        <is>
          <t>—</t>
        </is>
      </c>
      <c r="L67" s="4" t="inlineStr">
        <is>
          <t>ISO 3166-1: CL</t>
        </is>
      </c>
      <c r="M67" s="4" t="inlineStr">
        <is>
          <t>Proposto</t>
        </is>
      </c>
      <c r="N67" s="4" t="inlineStr">
        <is>
          <t>—</t>
        </is>
      </c>
    </row>
    <row r="68">
      <c r="A68" s="5" t="inlineStr">
        <is>
          <t>VC-PS-04</t>
        </is>
      </c>
      <c r="B68" s="5" t="inlineStr">
        <is>
          <t>País</t>
        </is>
      </c>
      <c r="C68" s="5" t="inlineStr">
        <is>
          <t>Colômbia</t>
        </is>
      </c>
      <c r="D68" s="5" t="inlineStr">
        <is>
          <t>Colombia</t>
        </is>
      </c>
      <c r="E68" s="5" t="inlineStr">
        <is>
          <t>Colombia</t>
        </is>
      </c>
      <c r="F68" s="5" t="inlineStr">
        <is>
          <t>República da Colômbia.</t>
        </is>
      </c>
      <c r="G68" s="5" t="inlineStr">
        <is>
          <t>República de Colombia.</t>
        </is>
      </c>
      <c r="H68" s="5" t="inlineStr">
        <is>
          <t>Republic of Colombia.</t>
        </is>
      </c>
      <c r="I68" s="5" t="inlineStr">
        <is>
          <t>CO</t>
        </is>
      </c>
      <c r="J68" s="5" t="inlineStr">
        <is>
          <t>—</t>
        </is>
      </c>
      <c r="K68" s="5" t="inlineStr">
        <is>
          <t>—</t>
        </is>
      </c>
      <c r="L68" s="5" t="inlineStr">
        <is>
          <t>ISO 3166-1: CO</t>
        </is>
      </c>
      <c r="M68" s="5" t="inlineStr">
        <is>
          <t>Proposto</t>
        </is>
      </c>
      <c r="N68" s="5" t="inlineStr">
        <is>
          <t>—</t>
        </is>
      </c>
    </row>
    <row r="69">
      <c r="A69" s="4" t="inlineStr">
        <is>
          <t>VC-PS-05</t>
        </is>
      </c>
      <c r="B69" s="4" t="inlineStr">
        <is>
          <t>País</t>
        </is>
      </c>
      <c r="C69" s="4" t="inlineStr">
        <is>
          <t>Costa Rica</t>
        </is>
      </c>
      <c r="D69" s="4" t="inlineStr">
        <is>
          <t>Costa Rica</t>
        </is>
      </c>
      <c r="E69" s="4" t="inlineStr">
        <is>
          <t>Costa Rica</t>
        </is>
      </c>
      <c r="F69" s="4" t="inlineStr">
        <is>
          <t>República da Costa Rica.</t>
        </is>
      </c>
      <c r="G69" s="4" t="inlineStr">
        <is>
          <t>República de Costa Rica.</t>
        </is>
      </c>
      <c r="H69" s="4" t="inlineStr">
        <is>
          <t>Republic of Costa Rica.</t>
        </is>
      </c>
      <c r="I69" s="4" t="inlineStr">
        <is>
          <t>CR</t>
        </is>
      </c>
      <c r="J69" s="4" t="inlineStr">
        <is>
          <t>—</t>
        </is>
      </c>
      <c r="K69" s="4" t="inlineStr">
        <is>
          <t>—</t>
        </is>
      </c>
      <c r="L69" s="4" t="inlineStr">
        <is>
          <t>ISO 3166-1: CR</t>
        </is>
      </c>
      <c r="M69" s="4" t="inlineStr">
        <is>
          <t>Proposto</t>
        </is>
      </c>
      <c r="N69" s="4" t="inlineStr">
        <is>
          <t>—</t>
        </is>
      </c>
    </row>
    <row r="70">
      <c r="A70" s="5" t="inlineStr">
        <is>
          <t>VC-PS-06</t>
        </is>
      </c>
      <c r="B70" s="5" t="inlineStr">
        <is>
          <t>País</t>
        </is>
      </c>
      <c r="C70" s="5" t="inlineStr">
        <is>
          <t>Equador</t>
        </is>
      </c>
      <c r="D70" s="5" t="inlineStr">
        <is>
          <t>Ecuador</t>
        </is>
      </c>
      <c r="E70" s="5" t="inlineStr">
        <is>
          <t>Ecuador</t>
        </is>
      </c>
      <c r="F70" s="5" t="inlineStr">
        <is>
          <t>República do Equador.</t>
        </is>
      </c>
      <c r="G70" s="5" t="inlineStr">
        <is>
          <t>República del Ecuador.</t>
        </is>
      </c>
      <c r="H70" s="5" t="inlineStr">
        <is>
          <t>Republic of Ecuador.</t>
        </is>
      </c>
      <c r="I70" s="5" t="inlineStr">
        <is>
          <t>EC</t>
        </is>
      </c>
      <c r="J70" s="5" t="inlineStr">
        <is>
          <t>—</t>
        </is>
      </c>
      <c r="K70" s="5" t="inlineStr">
        <is>
          <t>—</t>
        </is>
      </c>
      <c r="L70" s="5" t="inlineStr">
        <is>
          <t>ISO 3166-1: EC</t>
        </is>
      </c>
      <c r="M70" s="5" t="inlineStr">
        <is>
          <t>Proposto</t>
        </is>
      </c>
      <c r="N70" s="5" t="inlineStr">
        <is>
          <t>—</t>
        </is>
      </c>
    </row>
    <row r="71">
      <c r="A71" s="4" t="inlineStr">
        <is>
          <t>VC-PS-07</t>
        </is>
      </c>
      <c r="B71" s="4" t="inlineStr">
        <is>
          <t>País</t>
        </is>
      </c>
      <c r="C71" s="4" t="inlineStr">
        <is>
          <t>Panamá</t>
        </is>
      </c>
      <c r="D71" s="4" t="inlineStr">
        <is>
          <t>Panamá</t>
        </is>
      </c>
      <c r="E71" s="4" t="inlineStr">
        <is>
          <t>Panama</t>
        </is>
      </c>
      <c r="F71" s="4" t="inlineStr">
        <is>
          <t>República do Panamá.</t>
        </is>
      </c>
      <c r="G71" s="4" t="inlineStr">
        <is>
          <t>República de Panamá.</t>
        </is>
      </c>
      <c r="H71" s="4" t="inlineStr">
        <is>
          <t>Republic of Panama.</t>
        </is>
      </c>
      <c r="I71" s="4" t="inlineStr">
        <is>
          <t>PA</t>
        </is>
      </c>
      <c r="J71" s="4" t="inlineStr">
        <is>
          <t>—</t>
        </is>
      </c>
      <c r="K71" s="4" t="inlineStr">
        <is>
          <t>—</t>
        </is>
      </c>
      <c r="L71" s="4" t="inlineStr">
        <is>
          <t>ISO 3166-1: PA</t>
        </is>
      </c>
      <c r="M71" s="4" t="inlineStr">
        <is>
          <t>Proposto</t>
        </is>
      </c>
      <c r="N71" s="4" t="inlineStr">
        <is>
          <t>—</t>
        </is>
      </c>
    </row>
    <row r="72">
      <c r="A72" s="5" t="inlineStr">
        <is>
          <t>VC-PS-08</t>
        </is>
      </c>
      <c r="B72" s="5" t="inlineStr">
        <is>
          <t>País</t>
        </is>
      </c>
      <c r="C72" s="5" t="inlineStr">
        <is>
          <t>Peru</t>
        </is>
      </c>
      <c r="D72" s="5" t="inlineStr">
        <is>
          <t>Perú</t>
        </is>
      </c>
      <c r="E72" s="5" t="inlineStr">
        <is>
          <t>Peru</t>
        </is>
      </c>
      <c r="F72" s="5" t="inlineStr">
        <is>
          <t>República do Peru.</t>
        </is>
      </c>
      <c r="G72" s="5" t="inlineStr">
        <is>
          <t>República del Perú.</t>
        </is>
      </c>
      <c r="H72" s="5" t="inlineStr">
        <is>
          <t>Republic of Peru.</t>
        </is>
      </c>
      <c r="I72" s="5" t="inlineStr">
        <is>
          <t>PE</t>
        </is>
      </c>
      <c r="J72" s="5" t="inlineStr">
        <is>
          <t>—</t>
        </is>
      </c>
      <c r="K72" s="5" t="inlineStr">
        <is>
          <t>—</t>
        </is>
      </c>
      <c r="L72" s="5" t="inlineStr">
        <is>
          <t>ISO 3166-1: PE</t>
        </is>
      </c>
      <c r="M72" s="5" t="inlineStr">
        <is>
          <t>Proposto</t>
        </is>
      </c>
      <c r="N72" s="5" t="inlineStr">
        <is>
          <t>—</t>
        </is>
      </c>
    </row>
    <row r="73">
      <c r="A73" s="4" t="inlineStr">
        <is>
          <t>VC-PS-09</t>
        </is>
      </c>
      <c r="B73" s="4" t="inlineStr">
        <is>
          <t>País</t>
        </is>
      </c>
      <c r="C73" s="4" t="inlineStr">
        <is>
          <t>Uruguai</t>
        </is>
      </c>
      <c r="D73" s="4" t="inlineStr">
        <is>
          <t>Uruguay</t>
        </is>
      </c>
      <c r="E73" s="4" t="inlineStr">
        <is>
          <t>Uruguay</t>
        </is>
      </c>
      <c r="F73" s="4" t="inlineStr">
        <is>
          <t>República Oriental do Uruguai.</t>
        </is>
      </c>
      <c r="G73" s="4" t="inlineStr">
        <is>
          <t>República Oriental del Uruguay.</t>
        </is>
      </c>
      <c r="H73" s="4" t="inlineStr">
        <is>
          <t>Oriental Republic of Uruguay.</t>
        </is>
      </c>
      <c r="I73" s="4" t="inlineStr">
        <is>
          <t>UY</t>
        </is>
      </c>
      <c r="J73" s="4" t="inlineStr">
        <is>
          <t>—</t>
        </is>
      </c>
      <c r="K73" s="4" t="inlineStr">
        <is>
          <t>—</t>
        </is>
      </c>
      <c r="L73" s="4" t="inlineStr">
        <is>
          <t>ISO 3166-1: UY</t>
        </is>
      </c>
      <c r="M73" s="4" t="inlineStr">
        <is>
          <t>Proposto</t>
        </is>
      </c>
      <c r="N73" s="4" t="inlineStr">
        <is>
          <t>—</t>
        </is>
      </c>
    </row>
  </sheetData>
  <autoFilter ref="A8:N73"/>
  <mergeCells count="6">
    <mergeCell ref="A3:N3"/>
    <mergeCell ref="A6:N6"/>
    <mergeCell ref="A4:N4"/>
    <mergeCell ref="A2:N2"/>
    <mergeCell ref="A5:N5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9" customWidth="1" min="3" max="3"/>
    <col width="40" customWidth="1" min="4" max="4"/>
    <col width="14" customWidth="1" min="5" max="5"/>
    <col width="50" customWidth="1" min="6" max="6"/>
  </cols>
  <sheetData>
    <row r="1">
      <c r="A1" s="6" t="inlineStr">
        <is>
          <t>Mapa de Uso do Vocabulário Controlado</t>
        </is>
      </c>
    </row>
    <row r="3">
      <c r="A3" s="3" t="inlineStr">
        <is>
          <t>Domínio</t>
        </is>
      </c>
      <c r="B3" s="3" t="inlineStr">
        <is>
          <t>Aba de destino</t>
        </is>
      </c>
      <c r="C3" s="3" t="inlineStr">
        <is>
          <t>Coluna</t>
        </is>
      </c>
      <c r="D3" s="3" t="inlineStr">
        <is>
          <t>Campo de destino</t>
        </is>
      </c>
      <c r="E3" s="3" t="inlineStr">
        <is>
          <t>Obrigatoriedade</t>
        </is>
      </c>
      <c r="F3" s="3" t="inlineStr">
        <is>
          <t>Observação de manutenção</t>
        </is>
      </c>
    </row>
    <row r="4">
      <c r="A4" s="4" t="inlineStr">
        <is>
          <t>Tipo de Recurso</t>
        </is>
      </c>
      <c r="B4" s="4" t="inlineStr">
        <is>
          <t>Ficha de Depósito</t>
        </is>
      </c>
      <c r="C4" s="4" t="inlineStr">
        <is>
          <t>B</t>
        </is>
      </c>
      <c r="D4" s="4" t="inlineStr">
        <is>
          <t>Tipo de Recurso</t>
        </is>
      </c>
      <c r="E4" s="4" t="inlineStr">
        <is>
          <t>Obrigatório</t>
        </is>
      </c>
      <c r="F4" s="4" t="inlineStr">
        <is>
          <t>Alterar a lista exige atualizar a validação da coluna B.</t>
        </is>
      </c>
    </row>
    <row r="5">
      <c r="A5" s="5" t="inlineStr">
        <is>
          <t>Idioma</t>
        </is>
      </c>
      <c r="B5" s="5" t="inlineStr">
        <is>
          <t>Ficha de Depósito</t>
        </is>
      </c>
      <c r="C5" s="5" t="inlineStr">
        <is>
          <t>K</t>
        </is>
      </c>
      <c r="D5" s="5" t="inlineStr">
        <is>
          <t>Idioma do Arquivo</t>
        </is>
      </c>
      <c r="E5" s="5" t="inlineStr">
        <is>
          <t>Obrigatório</t>
        </is>
      </c>
      <c r="F5" s="5" t="inlineStr">
        <is>
          <t>—</t>
        </is>
      </c>
    </row>
    <row r="6">
      <c r="A6" s="4" t="inlineStr">
        <is>
          <t>Idioma</t>
        </is>
      </c>
      <c r="B6" s="4" t="inlineStr">
        <is>
          <t>Ficha de Depósito</t>
        </is>
      </c>
      <c r="C6" s="4" t="inlineStr">
        <is>
          <t>L</t>
        </is>
      </c>
      <c r="D6" s="4" t="inlineStr">
        <is>
          <t>Idioma dos Metadados</t>
        </is>
      </c>
      <c r="E6" s="4" t="inlineStr">
        <is>
          <t>Obrigatório</t>
        </is>
      </c>
      <c r="F6" s="4" t="inlineStr">
        <is>
          <t>—</t>
        </is>
      </c>
    </row>
    <row r="7">
      <c r="A7" s="5" t="inlineStr">
        <is>
          <t>Licença</t>
        </is>
      </c>
      <c r="B7" s="5" t="inlineStr">
        <is>
          <t>Ficha de Depósito</t>
        </is>
      </c>
      <c r="C7" s="5" t="inlineStr">
        <is>
          <t>M</t>
        </is>
      </c>
      <c r="D7" s="5" t="inlineStr">
        <is>
          <t>Licença</t>
        </is>
      </c>
      <c r="E7" s="5" t="inlineStr">
        <is>
          <t>Obrigatório</t>
        </is>
      </c>
      <c r="F7" s="5" t="inlineStr">
        <is>
          <t>"Outra — justificar" aciona a coluna N.</t>
        </is>
      </c>
    </row>
    <row r="8">
      <c r="A8" s="4" t="inlineStr">
        <is>
          <t>Acesso</t>
        </is>
      </c>
      <c r="B8" s="4" t="inlineStr">
        <is>
          <t>Ficha de Depósito</t>
        </is>
      </c>
      <c r="C8" s="4" t="inlineStr">
        <is>
          <t>P</t>
        </is>
      </c>
      <c r="D8" s="4" t="inlineStr">
        <is>
          <t>Acesso</t>
        </is>
      </c>
      <c r="E8" s="4" t="inlineStr">
        <is>
          <t>Obrigatório</t>
        </is>
      </c>
      <c r="F8" s="4" t="inlineStr">
        <is>
          <t>"Embargo" aciona a coluna Q.</t>
        </is>
      </c>
    </row>
    <row r="9">
      <c r="A9" s="5" t="inlineStr">
        <is>
          <t>Técnica de Agregação</t>
        </is>
      </c>
      <c r="B9" s="5" t="inlineStr">
        <is>
          <t>Ficha de Depósito</t>
        </is>
      </c>
      <c r="C9" s="5" t="inlineStr">
        <is>
          <t>S</t>
        </is>
      </c>
      <c r="D9" s="5" t="inlineStr">
        <is>
          <t>Técnica de Agregação</t>
        </is>
      </c>
      <c r="E9" s="5" t="inlineStr">
        <is>
          <t>Condicional</t>
        </is>
      </c>
      <c r="F9" s="5" t="inlineStr">
        <is>
          <t>Obrigatória apenas quando o tipo for Conjunto de dados.</t>
        </is>
      </c>
    </row>
    <row r="10">
      <c r="A10" s="4" t="inlineStr">
        <is>
          <t>Status do Fluxo</t>
        </is>
      </c>
      <c r="B10" s="4" t="inlineStr">
        <is>
          <t>Ficha de Depósito</t>
        </is>
      </c>
      <c r="C10" s="4" t="inlineStr">
        <is>
          <t>W</t>
        </is>
      </c>
      <c r="D10" s="4" t="inlineStr">
        <is>
          <t>Status do Fluxo</t>
        </is>
      </c>
      <c r="E10" s="4" t="inlineStr">
        <is>
          <t>Obrigatório</t>
        </is>
      </c>
      <c r="F10" s="4" t="inlineStr">
        <is>
          <t>Governa a conferência automática da coluna AB.</t>
        </is>
      </c>
    </row>
    <row r="11">
      <c r="A11" s="5" t="inlineStr">
        <is>
          <t>Palavra-chave Principal</t>
        </is>
      </c>
      <c r="B11" s="5" t="inlineStr">
        <is>
          <t>Ficha de Depósito</t>
        </is>
      </c>
      <c r="C11" s="5" t="inlineStr">
        <is>
          <t>I</t>
        </is>
      </c>
      <c r="D11" s="5" t="inlineStr">
        <is>
          <t>Palavra-chave Principal</t>
        </is>
      </c>
      <c r="E11" s="5" t="inlineStr">
        <is>
          <t>Obrigatório</t>
        </is>
      </c>
      <c r="F11" s="5" t="inlineStr">
        <is>
          <t>Apenas um termo principal por produto; adicionais na coluna J em texto livre.</t>
        </is>
      </c>
    </row>
    <row r="12">
      <c r="A12" s="4" t="inlineStr">
        <is>
          <t>Declaração de Dado Pessoal</t>
        </is>
      </c>
      <c r="B12" s="4" t="inlineStr">
        <is>
          <t>Ficha de Depósito</t>
        </is>
      </c>
      <c r="C12" s="4" t="inlineStr">
        <is>
          <t>T</t>
        </is>
      </c>
      <c r="D12" s="4" t="inlineStr">
        <is>
          <t>Declara Ausência de Dado Pessoal Identificável</t>
        </is>
      </c>
      <c r="E12" s="4" t="inlineStr">
        <is>
          <t>Obrigatório</t>
        </is>
      </c>
      <c r="F12" s="4" t="inlineStr">
        <is>
          <t>"Não" bloqueia a conferência automática.</t>
        </is>
      </c>
    </row>
    <row r="13">
      <c r="A13" s="5" t="inlineStr">
        <is>
          <t>Declaração de Dado Sensível</t>
        </is>
      </c>
      <c r="B13" s="5" t="inlineStr">
        <is>
          <t>Ficha de Depósito</t>
        </is>
      </c>
      <c r="C13" s="5" t="inlineStr">
        <is>
          <t>U</t>
        </is>
      </c>
      <c r="D13" s="5" t="inlineStr">
        <is>
          <t>Contém Dado Sensível</t>
        </is>
      </c>
      <c r="E13" s="5" t="inlineStr">
        <is>
          <t>Obrigatório</t>
        </is>
      </c>
      <c r="F13" s="5" t="inlineStr">
        <is>
          <t>"Sim" impede o depósito.</t>
        </is>
      </c>
    </row>
    <row r="14">
      <c r="A14" s="4" t="inlineStr">
        <is>
          <t>Papel na Autoria</t>
        </is>
      </c>
      <c r="B14" s="4" t="inlineStr">
        <is>
          <t>Autoria</t>
        </is>
      </c>
      <c r="C14" s="4" t="inlineStr">
        <is>
          <t>I</t>
        </is>
      </c>
      <c r="D14" s="4" t="inlineStr">
        <is>
          <t>Papel na Autoria</t>
        </is>
      </c>
      <c r="E14" s="4" t="inlineStr">
        <is>
          <t>Obrigatório</t>
        </is>
      </c>
      <c r="F14" s="4" t="inlineStr">
        <is>
          <t>Uma pessoa pode acumular mais de um papel em linhas distintas.</t>
        </is>
      </c>
    </row>
    <row r="15">
      <c r="A15" s="5" t="inlineStr">
        <is>
          <t>País</t>
        </is>
      </c>
      <c r="B15" s="5" t="inlineStr">
        <is>
          <t>Autoria</t>
        </is>
      </c>
      <c r="C15" s="5" t="inlineStr">
        <is>
          <t>E</t>
        </is>
      </c>
      <c r="D15" s="5" t="inlineStr">
        <is>
          <t>País</t>
        </is>
      </c>
      <c r="E15" s="5" t="inlineStr">
        <is>
          <t>Obrigatório</t>
        </is>
      </c>
      <c r="F15" s="5" t="inlineStr">
        <is>
          <t>Mesmo país da instituição de vínculo.</t>
        </is>
      </c>
    </row>
    <row r="16">
      <c r="A16" s="4" t="inlineStr">
        <is>
          <t>País</t>
        </is>
      </c>
      <c r="B16" s="4" t="inlineStr">
        <is>
          <t>Diretório de Autoria</t>
        </is>
      </c>
      <c r="C16" s="4" t="inlineStr">
        <is>
          <t>C</t>
        </is>
      </c>
      <c r="D16" s="4" t="inlineStr">
        <is>
          <t>País</t>
        </is>
      </c>
      <c r="E16" s="4" t="inlineStr">
        <is>
          <t>Obrigatório</t>
        </is>
      </c>
      <c r="F16" s="4" t="inlineStr">
        <is>
          <t>Manter sincronizado com a aba Autoria.</t>
        </is>
      </c>
    </row>
    <row r="18">
      <c r="A18" s="7" t="inlineStr">
        <is>
          <t>Regra de manutenção: qualquer inclusão, exclusão ou alteração de termo deve ser registrada com data, responsável e justificativa, gerar incremento de versão menor (1.0 para 1.1) e ser submetida ao Comitê Gestor Interinstitucional antes de entrar em uso.</t>
        </is>
      </c>
    </row>
  </sheetData>
  <autoFilter ref="A3:F17"/>
  <mergeCells count="1">
    <mergeCell ref="A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Descrição</t>
        </is>
      </c>
      <c r="C1" t="inlineStr">
        <is>
          <t>Responsável</t>
        </is>
      </c>
      <c r="D1" t="inlineStr">
        <is>
          <t>Concluído (Sim/Não)</t>
        </is>
      </c>
      <c r="E1" t="inlineStr">
        <is>
          <t>Data</t>
        </is>
      </c>
      <c r="F1" t="inlineStr">
        <is>
          <t>Observações</t>
        </is>
      </c>
      <c r="G1" t="inlineStr">
        <is>
          <t>Validação</t>
        </is>
      </c>
    </row>
    <row r="2">
      <c r="A2" t="inlineStr">
        <is>
          <t>1. Qualificação do produto</t>
        </is>
      </c>
      <c r="B2" t="inlineStr">
        <is>
          <t>Definir tipo e verificar se há dado pessoal, sensível ou passível de identificação indireta</t>
        </is>
      </c>
      <c r="G2">
        <f>IF(D2="Sim","Etapa concluída","Pendente")</f>
        <v/>
      </c>
    </row>
    <row r="3">
      <c r="A3" t="inlineStr">
        <is>
          <t>2. Verificação de ética e LGPD</t>
        </is>
      </c>
      <c r="B3" t="inlineStr">
        <is>
          <t>Conferir parecer do Sistema CEP/CONEP; garantir agregação ou anonimização de dados primários</t>
        </is>
      </c>
      <c r="G3">
        <f>IF(D3="Sim","Etapa concluída","Pendente")</f>
        <v/>
      </c>
    </row>
    <row r="4">
      <c r="A4" t="inlineStr">
        <is>
          <t>3. Preparação dos metadados</t>
        </is>
      </c>
      <c r="B4" t="inlineStr">
        <is>
          <t>Preencher a aba Ficha de Depósito e registrar toda a autoria na aba Autoria</t>
        </is>
      </c>
      <c r="G4">
        <f>IF(D4="Sim","Etapa concluída","Pendente")</f>
        <v/>
      </c>
    </row>
    <row r="5">
      <c r="A5" t="inlineStr">
        <is>
          <t>4. Depósito no Zenodo</t>
        </is>
      </c>
      <c r="B5" t="inlineStr">
        <is>
          <t>Criar o registro, carregar arquivos, vincular ao projeto, obter DOI conceito e DOI de versão</t>
        </is>
      </c>
      <c r="G5">
        <f>IF(D5="Sim","Etapa concluída","Pendente")</f>
        <v/>
      </c>
    </row>
    <row r="6">
      <c r="A6" t="inlineStr">
        <is>
          <t>5. Publicação e vinculação</t>
        </is>
      </c>
      <c r="B6" t="inlineStr">
        <is>
          <t>Liberar o registro, atualizar a página Produção e dados, o ORCID de cada autoria e o Currículo Lattes, e registrar no relatório do CNPq</t>
        </is>
      </c>
      <c r="G6">
        <f>IF(D6="Sim","Etapa concluída","Pendente")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2026-10-25T01:57:00Z</dcterms:created>
  <dcterms:modified xmlns:dcterms="http://purl.org/dc/terms/" xmlns:xsi="http://www.w3.org/2001/XMLSchema-instance" xsi:type="dcterms:W3CDTF">2026-10-25T01:57:00Z</dcterms:modified>
</cp:coreProperties>
</file>